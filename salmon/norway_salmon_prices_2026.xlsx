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Недели" sheetId="1" state="visible" r:id="rId3"/>
    <sheet name="Месяцы" sheetId="2" state="visible" r:id="rId4"/>
    <sheet name="Пояснения" sheetId="3" state="visible" r:id="rId5"/>
    <sheet name="Курсы ЦБ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<sst xmlns="http://schemas.openxmlformats.org/spreadsheetml/2006/main" count="118" uniqueCount="72">
  <si>
    <t xml:space="preserve">Экспортные цены на лосось из Норвегии по неделям 2026 года, NOK/кг и ₽/кг</t>
  </si>
  <si>
    <t xml:space="preserve">Цена — средняя экспортная цена на границе Норвегии (FOB), включая фрахт и терминальные расходы. Это не розничная цена. Рубли = цена в NOK × курс ЦБ РФ на последнюю дату недели (если курса на воскресенье нет — на ближайшую предыдущую дату). Серые строки — недели вне 6-месячного окна, для контекста.</t>
  </si>
  <si>
    <t xml:space="preserve">Период</t>
  </si>
  <si>
    <t xml:space="preserve">Курс ЦБ РФ</t>
  </si>
  <si>
    <t xml:space="preserve">SSB: свежий/охлаждённый лосось (целая рыба)</t>
  </si>
  <si>
    <t xml:space="preserve">SSB: замороженный лосось (целая рыба)</t>
  </si>
  <si>
    <t xml:space="preserve">Sjømatrådet: свежая целая рыба</t>
  </si>
  <si>
    <t xml:space="preserve">Sjømatrådet: свежее филе</t>
  </si>
  <si>
    <t xml:space="preserve">Неделя ISO 2026</t>
  </si>
  <si>
    <t xml:space="preserve">Начало недели (пн)</t>
  </si>
  <si>
    <t xml:space="preserve">Конец недели (вс)</t>
  </si>
  <si>
    <t xml:space="preserve">В 6-мес. окне?</t>
  </si>
  <si>
    <t xml:space="preserve">Дата курса ЦБ</t>
  </si>
  <si>
    <t xml:space="preserve">Курс, ₽ за 1 NOK</t>
  </si>
  <si>
    <t xml:space="preserve">Цена, NOK за 1 кг</t>
  </si>
  <si>
    <t xml:space="preserve">Цена, ₽ за 1 кг</t>
  </si>
  <si>
    <t xml:space="preserve">Объём экспорта, тонн</t>
  </si>
  <si>
    <t xml:space="preserve">Изменение за неделю, %</t>
  </si>
  <si>
    <t xml:space="preserve">Объём, тонн</t>
  </si>
  <si>
    <t xml:space="preserve">Та же неделя 2025, NOK за 1 кг</t>
  </si>
  <si>
    <t xml:space="preserve">нет (контекст)</t>
  </si>
  <si>
    <t xml:space="preserve">да</t>
  </si>
  <si>
    <t xml:space="preserve">Итоги по неделям 17–41 (SSB, свежий лосось)</t>
  </si>
  <si>
    <t xml:space="preserve">Минимум</t>
  </si>
  <si>
    <t xml:space="preserve">Максимум</t>
  </si>
  <si>
    <t xml:space="preserve">Среднее по неделям</t>
  </si>
  <si>
    <t xml:space="preserve">Среднее с учётом объёма</t>
  </si>
  <si>
    <t xml:space="preserve">Сумма экспорта за недели 17–41, тонн</t>
  </si>
  <si>
    <t xml:space="preserve">Синий шрифт — данные из источников, чёрный — формулы. Курс подставляется из листа «Курсы ЦБ».</t>
  </si>
  <si>
    <t xml:space="preserve">Экспортные цены на лосось из Норвегии по месяцам 2026 года, NOK/кг и ₽/кг</t>
  </si>
  <si>
    <t xml:space="preserve">Источник: SSB, таблица 08799 (внешняя торговля по товарным кодам), экспорт, все страны; цена = экспортная стоимость ÷ вес. Данные предварительные. Рубли = цена в NOK × средний курс ЦБ РФ за месяц (среднее по всем датам месяца на листе «Курсы ЦБ»).</t>
  </si>
  <si>
    <t xml:space="preserve">Свежая целая рыба (код 03021411)</t>
  </si>
  <si>
    <t xml:space="preserve">Свежее филе (03044100)</t>
  </si>
  <si>
    <t xml:space="preserve">Замороженная целая (03031311)</t>
  </si>
  <si>
    <t xml:space="preserve">Sjømatrådet: пресс-релиз</t>
  </si>
  <si>
    <t xml:space="preserve">Месяц</t>
  </si>
  <si>
    <t xml:space="preserve">Первый день</t>
  </si>
  <si>
    <t xml:space="preserve">Последний день</t>
  </si>
  <si>
    <t xml:space="preserve">Средний курс ЦБ, ₽ за 1 NOK</t>
  </si>
  <si>
    <t xml:space="preserve">Стоимость экспорта, млн NOK</t>
  </si>
  <si>
    <t xml:space="preserve">Стоимость экспорта, млн ₽</t>
  </si>
  <si>
    <t xml:space="preserve">Апрель 2026</t>
  </si>
  <si>
    <t xml:space="preserve">Май 2026</t>
  </si>
  <si>
    <t xml:space="preserve">Июнь 2026</t>
  </si>
  <si>
    <t xml:space="preserve">Июль 2026</t>
  </si>
  <si>
    <t xml:space="preserve">Август 2026</t>
  </si>
  <si>
    <t xml:space="preserve">Сентябрь 2026</t>
  </si>
  <si>
    <t xml:space="preserve">Цены Sjømatrådet в пресс-релизах: апрель 82,02 NOK/кг, июль 71,48, август «около 74». В релизах за май, июнь и сентябрь цена за кг не названа. Охват продукта у Sjømatrådet отличается от таблицы SSB, поэтому цифры немного выше.</t>
  </si>
  <si>
    <t xml:space="preserve">Синий шрифт — данные из источников, чёрный — формулы.</t>
  </si>
  <si>
    <t xml:space="preserve">Что в таблицах</t>
  </si>
  <si>
    <t xml:space="preserve">Цены — экспортные: средняя цена на норвежской границе (FOB), включая фрахт и терминальные расходы. Это не розничная цена, не цена производителя и не биржевой спот.</t>
  </si>
  <si>
    <t xml:space="preserve">Единицы: цены в норвежских кронах (NOK) и российских рублях (₽) за 1 килограмм; объём — в тоннах; стоимость — в миллионах.</t>
  </si>
  <si>
    <t xml:space="preserve">Откуда данные</t>
  </si>
  <si>
    <t xml:space="preserve">SSB (Statistics Norway), таблица 03024 «Export of salmon, fish-farm bred, by week»: недельная цена и вес свежего и замороженного лосося. https://data.ssb.no/api/v0/en/table/03024</t>
  </si>
  <si>
    <t xml:space="preserve">SSB, таблица 08799 «External trade in goods»: месячный экспорт по товарным кодам. https://data.ssb.no/api/v0/en/table/08799</t>
  </si>
  <si>
    <t xml:space="preserve">Sjømatrådet (Норвежский совет по морепродуктам), недельные отчёты «ukestat laks og ørret»: цена целой свежей рыбы и свежего филе (FOB, данные TAD/SSB). Отчёта за неделю 41 пока нет.</t>
  </si>
  <si>
    <t xml:space="preserve">ЦБ РФ: официальный курс NOK к рублю. https://www.cbr.ru/scripts/XML_dynamic.asp</t>
  </si>
  <si>
    <t xml:space="preserve">Как пересчитано в рубли</t>
  </si>
  <si>
    <t xml:space="preserve">Недели: цена в NOK × курс ЦБ РФ на последнюю дату недели (воскресенье). Если курса на эту дату нет, берётся курс на ближайшую предыдущую дату. Дата курса указана в столбце E листа «Недели».</t>
  </si>
  <si>
    <t xml:space="preserve">Месяцы: цена в NOK × средний курс ЦБ РФ за месяц.</t>
  </si>
  <si>
    <t xml:space="preserve">Рубли — это пересчёт по курсу ЦБ, а не реальная цена в рублях: такого экспорта в рублях нет.</t>
  </si>
  <si>
    <t xml:space="preserve">Оговорки</t>
  </si>
  <si>
    <t xml:space="preserve">SSB уточняет недельные цифры задним числом, значения могут слегка измениться. Месячные цены SSB предварительные.</t>
  </si>
  <si>
    <t xml:space="preserve">Цены SSB и Sjømatrådet совпадают не полностью: у них разный охват и разные ревизии (до 2,2 NOK/кг).</t>
  </si>
  <si>
    <t xml:space="preserve">Недельное филе Sjømatrådet в неделях 18, 22, 24 и 28 (155–175 NOK/кг) выглядит выбросом на фоне типичных 120–138; так напечатано в отчётах. Для филе надёжнее месячные цены SSB.</t>
  </si>
  <si>
    <t xml:space="preserve">Номера недель 2026 и 2025 смещены почти на неделю, поэтому сравнение «та же неделя 2025» приблизительное.</t>
  </si>
  <si>
    <t xml:space="preserve">Индекс SISALMON (Fish Pool/Euronext) в таблицы не вошёл: данные индекса лицензируются.</t>
  </si>
  <si>
    <t xml:space="preserve">Официальный курс ЦБ РФ: норвежская крона (NOK) к рублю</t>
  </si>
  <si>
    <t xml:space="preserve">Источник: ЦБ РФ, https://www.cbr.ru/scripts/XML_dynamic.asp (код валюты R01535). Номинал 10 NOK; курс за 1 NOK = курс за 10 NOK ÷ 10.</t>
  </si>
  <si>
    <t xml:space="preserve">Дата</t>
  </si>
  <si>
    <t xml:space="preserve">Номинал, NOK</t>
  </si>
  <si>
    <t xml:space="preserve">Курс ЦБ, ₽ за 10 NOK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</si>
</sst>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.mm\.yyyy"/>
    <numFmt numFmtId="166" formatCode="0.0000"/>
    <numFmt numFmtId="167" formatCode="0.00"/>
    <numFmt numFmtId="168" formatCode="#,##0"/>
    <numFmt numFmtId="169" formatCode="0.0%"/>
    <numFmt numFmtId="170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3"/>
    <col collapsed="false" customWidth="true" hidden="false" outlineLevel="0" max="12" min="10" style="0" width="12"/>
    <col collapsed="false" customWidth="true" hidden="false" outlineLevel="0" max="13" min="13" style="0" width="10"/>
    <col collapsed="false" customWidth="true" hidden="false" outlineLevel="0" max="15" min="14" style="0" width="12"/>
    <col collapsed="false" customWidth="true" hidden="false" outlineLevel="0" max="16" min="16" style="0" width="10"/>
    <col collapsed="false" customWidth="true" hidden="false" outlineLevel="0" max="17" min="17" style="0" width="14"/>
    <col collapsed="false" customWidth="true" hidden="false" outlineLevel="0" max="19" min="18" style="0" width="12"/>
    <col collapsed="false" customWidth="true" hidden="false" outlineLevel="0" max="20" min="20" style="0" width="10"/>
  </cols>
  <sheetData>
    <row r="1" customFormat="false" ht="16.15" hidden="false" customHeight="false" outlineLevel="0" collapsed="false">
      <c r="A1" s="1" t="s">
        <v>0</v>
      </c>
    </row>
    <row r="2" customFormat="false" ht="4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23.85" hidden="false" customHeight="true" outlineLevel="0" collapsed="false">
      <c r="A4" s="3" t="s">
        <v>2</v>
      </c>
      <c r="B4" s="3"/>
      <c r="C4" s="3"/>
      <c r="D4" s="3"/>
      <c r="E4" s="3" t="s">
        <v>3</v>
      </c>
      <c r="F4" s="3"/>
      <c r="G4" s="3" t="s">
        <v>4</v>
      </c>
      <c r="H4" s="3"/>
      <c r="I4" s="3"/>
      <c r="J4" s="3"/>
      <c r="K4" s="3" t="s">
        <v>5</v>
      </c>
      <c r="L4" s="3"/>
      <c r="M4" s="3"/>
      <c r="N4" s="3" t="s">
        <v>6</v>
      </c>
      <c r="O4" s="3"/>
      <c r="P4" s="3"/>
      <c r="Q4" s="3"/>
      <c r="R4" s="3" t="s">
        <v>7</v>
      </c>
      <c r="S4" s="3"/>
      <c r="T4" s="3"/>
    </row>
    <row r="5" customFormat="false" ht="57.75" hidden="false" customHeight="tru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  <c r="M5" s="4" t="s">
        <v>18</v>
      </c>
      <c r="N5" s="4" t="s">
        <v>14</v>
      </c>
      <c r="O5" s="4" t="s">
        <v>15</v>
      </c>
      <c r="P5" s="4" t="s">
        <v>18</v>
      </c>
      <c r="Q5" s="4" t="s">
        <v>19</v>
      </c>
      <c r="R5" s="4" t="s">
        <v>14</v>
      </c>
      <c r="S5" s="4" t="s">
        <v>15</v>
      </c>
      <c r="T5" s="4" t="s">
        <v>18</v>
      </c>
    </row>
    <row r="6" customFormat="false" ht="15" hidden="false" customHeight="false" outlineLevel="0" collapsed="false">
      <c r="A6" s="5" t="n">
        <v>14</v>
      </c>
      <c r="B6" s="6" t="n">
        <v>46111</v>
      </c>
      <c r="C6" s="6" t="n">
        <v>46117</v>
      </c>
      <c r="D6" s="5" t="s">
        <v>20</v>
      </c>
      <c r="E6" s="6" t="n">
        <f aca="false">INDEX('Курсы ЦБ'!$A$5:$A$146,MATCH(C6,'Курсы ЦБ'!$A$5:$A$146,1))</f>
        <v>46116</v>
      </c>
      <c r="F6" s="7" t="n">
        <f aca="false">INDEX('Курсы ЦБ'!$D$5:$D$146,MATCH(C6,'Курсы ЦБ'!$A$5:$A$146,1))</f>
        <v>8.25535</v>
      </c>
      <c r="G6" s="8" t="n">
        <v>89.13</v>
      </c>
      <c r="H6" s="9" t="n">
        <f aca="false">ROUND(G6*F6,2)</f>
        <v>735.8</v>
      </c>
      <c r="I6" s="10" t="n">
        <v>16503</v>
      </c>
      <c r="J6" s="5"/>
      <c r="K6" s="11" t="n">
        <v>63.72</v>
      </c>
      <c r="L6" s="12" t="n">
        <f aca="false">ROUND(K6*F6,2)</f>
        <v>526.03</v>
      </c>
      <c r="M6" s="10" t="n">
        <v>208</v>
      </c>
      <c r="N6" s="11" t="n">
        <v>89.15</v>
      </c>
      <c r="O6" s="12" t="n">
        <f aca="false">IF(N6="","",ROUND(N6*F6,2))</f>
        <v>735.96</v>
      </c>
      <c r="P6" s="10" t="n">
        <v>16530</v>
      </c>
      <c r="Q6" s="11" t="n">
        <v>77.46</v>
      </c>
      <c r="R6" s="11" t="n">
        <v>173.08</v>
      </c>
      <c r="S6" s="12" t="n">
        <f aca="false">IF(R6="","",ROUND(R6*F6,2))</f>
        <v>1428.84</v>
      </c>
      <c r="T6" s="10" t="n">
        <v>2242</v>
      </c>
    </row>
    <row r="7" customFormat="false" ht="15" hidden="false" customHeight="false" outlineLevel="0" collapsed="false">
      <c r="A7" s="5" t="n">
        <v>15</v>
      </c>
      <c r="B7" s="6" t="n">
        <v>46118</v>
      </c>
      <c r="C7" s="6" t="n">
        <v>46124</v>
      </c>
      <c r="D7" s="5" t="s">
        <v>20</v>
      </c>
      <c r="E7" s="6" t="n">
        <f aca="false">INDEX('Курсы ЦБ'!$A$5:$A$146,MATCH(C7,'Курсы ЦБ'!$A$5:$A$146,1))</f>
        <v>46123</v>
      </c>
      <c r="F7" s="7" t="n">
        <f aca="false">INDEX('Курсы ЦБ'!$D$5:$D$146,MATCH(C7,'Курсы ЦБ'!$A$5:$A$146,1))</f>
        <v>8.08364</v>
      </c>
      <c r="G7" s="8" t="n">
        <v>85.17</v>
      </c>
      <c r="H7" s="9" t="n">
        <f aca="false">ROUND(G7*F7,2)</f>
        <v>688.48</v>
      </c>
      <c r="I7" s="10" t="n">
        <v>18610</v>
      </c>
      <c r="J7" s="13" t="n">
        <f aca="false">G7/G6-1</f>
        <v>-0.044429485021878</v>
      </c>
      <c r="K7" s="11" t="n">
        <v>75.37</v>
      </c>
      <c r="L7" s="12" t="n">
        <f aca="false">ROUND(K7*F7,2)</f>
        <v>609.26</v>
      </c>
      <c r="M7" s="10" t="n">
        <v>421</v>
      </c>
      <c r="N7" s="11" t="n">
        <v>87.09</v>
      </c>
      <c r="O7" s="12" t="n">
        <f aca="false">IF(N7="","",ROUND(N7*F7,2))</f>
        <v>704</v>
      </c>
      <c r="P7" s="10" t="n">
        <v>18706</v>
      </c>
      <c r="Q7" s="11" t="n">
        <v>79.55</v>
      </c>
      <c r="R7" s="11" t="n">
        <v>137.97</v>
      </c>
      <c r="S7" s="12" t="n">
        <f aca="false">IF(R7="","",ROUND(R7*F7,2))</f>
        <v>1115.3</v>
      </c>
      <c r="T7" s="10" t="n">
        <v>2323</v>
      </c>
    </row>
    <row r="8" customFormat="false" ht="15" hidden="false" customHeight="false" outlineLevel="0" collapsed="false">
      <c r="A8" s="5" t="n">
        <v>16</v>
      </c>
      <c r="B8" s="6" t="n">
        <v>46125</v>
      </c>
      <c r="C8" s="6" t="n">
        <v>46131</v>
      </c>
      <c r="D8" s="5" t="s">
        <v>20</v>
      </c>
      <c r="E8" s="6" t="n">
        <f aca="false">INDEX('Курсы ЦБ'!$A$5:$A$146,MATCH(C8,'Курсы ЦБ'!$A$5:$A$146,1))</f>
        <v>46130</v>
      </c>
      <c r="F8" s="7" t="n">
        <f aca="false">INDEX('Курсы ЦБ'!$D$5:$D$146,MATCH(C8,'Курсы ЦБ'!$A$5:$A$146,1))</f>
        <v>8.11064</v>
      </c>
      <c r="G8" s="8" t="n">
        <v>77.31</v>
      </c>
      <c r="H8" s="9" t="n">
        <f aca="false">ROUND(G8*F8,2)</f>
        <v>627.03</v>
      </c>
      <c r="I8" s="10" t="n">
        <v>20224</v>
      </c>
      <c r="J8" s="13" t="n">
        <f aca="false">G8/G7-1</f>
        <v>-0.0922860162028883</v>
      </c>
      <c r="K8" s="11" t="n">
        <v>71.61</v>
      </c>
      <c r="L8" s="12" t="n">
        <f aca="false">ROUND(K8*F8,2)</f>
        <v>580.8</v>
      </c>
      <c r="M8" s="10" t="n">
        <v>561</v>
      </c>
      <c r="N8" s="11" t="n">
        <v>78.1</v>
      </c>
      <c r="O8" s="12" t="n">
        <f aca="false">IF(N8="","",ROUND(N8*F8,2))</f>
        <v>633.44</v>
      </c>
      <c r="P8" s="10" t="n">
        <v>20446</v>
      </c>
      <c r="Q8" s="11" t="n">
        <v>98.77</v>
      </c>
      <c r="R8" s="11" t="n">
        <v>134.13</v>
      </c>
      <c r="S8" s="12" t="n">
        <f aca="false">IF(R8="","",ROUND(R8*F8,2))</f>
        <v>1087.88</v>
      </c>
      <c r="T8" s="10" t="n">
        <v>2720</v>
      </c>
    </row>
    <row r="9" customFormat="false" ht="15" hidden="false" customHeight="false" outlineLevel="0" collapsed="false">
      <c r="A9" s="14" t="n">
        <v>17</v>
      </c>
      <c r="B9" s="15" t="n">
        <v>46132</v>
      </c>
      <c r="C9" s="15" t="n">
        <v>46138</v>
      </c>
      <c r="D9" s="14" t="s">
        <v>21</v>
      </c>
      <c r="E9" s="15" t="n">
        <f aca="false">INDEX('Курсы ЦБ'!$A$5:$A$146,MATCH(C9,'Курсы ЦБ'!$A$5:$A$146,1))</f>
        <v>46137</v>
      </c>
      <c r="F9" s="16" t="n">
        <f aca="false">INDEX('Курсы ЦБ'!$D$5:$D$146,MATCH(C9,'Курсы ЦБ'!$A$5:$A$146,1))</f>
        <v>8.09328</v>
      </c>
      <c r="G9" s="17" t="n">
        <v>76.49</v>
      </c>
      <c r="H9" s="18" t="n">
        <f aca="false">ROUND(G9*F9,2)</f>
        <v>619.05</v>
      </c>
      <c r="I9" s="19" t="n">
        <v>19294</v>
      </c>
      <c r="J9" s="20" t="n">
        <f aca="false">G9/G8-1</f>
        <v>-0.0106066485577546</v>
      </c>
      <c r="K9" s="21" t="n">
        <v>69.21</v>
      </c>
      <c r="L9" s="22" t="n">
        <f aca="false">ROUND(K9*F9,2)</f>
        <v>560.14</v>
      </c>
      <c r="M9" s="19" t="n">
        <v>486</v>
      </c>
      <c r="N9" s="21" t="n">
        <v>76.38</v>
      </c>
      <c r="O9" s="22" t="n">
        <f aca="false">IF(N9="","",ROUND(N9*F9,2))</f>
        <v>618.16</v>
      </c>
      <c r="P9" s="19" t="n">
        <v>19395</v>
      </c>
      <c r="Q9" s="21" t="n">
        <v>90.06</v>
      </c>
      <c r="R9" s="21" t="n">
        <v>129.17</v>
      </c>
      <c r="S9" s="22" t="n">
        <f aca="false">IF(R9="","",ROUND(R9*F9,2))</f>
        <v>1045.41</v>
      </c>
      <c r="T9" s="19" t="n">
        <v>2625</v>
      </c>
    </row>
    <row r="10" customFormat="false" ht="15" hidden="false" customHeight="false" outlineLevel="0" collapsed="false">
      <c r="A10" s="14" t="n">
        <v>18</v>
      </c>
      <c r="B10" s="15" t="n">
        <v>46139</v>
      </c>
      <c r="C10" s="15" t="n">
        <v>46145</v>
      </c>
      <c r="D10" s="14" t="s">
        <v>21</v>
      </c>
      <c r="E10" s="15" t="n">
        <f aca="false">INDEX('Курсы ЦБ'!$A$5:$A$146,MATCH(C10,'Курсы ЦБ'!$A$5:$A$146,1))</f>
        <v>46143</v>
      </c>
      <c r="F10" s="16" t="n">
        <f aca="false">INDEX('Курсы ЦБ'!$D$5:$D$146,MATCH(C10,'Курсы ЦБ'!$A$5:$A$146,1))</f>
        <v>8.06136</v>
      </c>
      <c r="G10" s="17" t="n">
        <v>83.51</v>
      </c>
      <c r="H10" s="18" t="n">
        <f aca="false">ROUND(G10*F10,2)</f>
        <v>673.2</v>
      </c>
      <c r="I10" s="19" t="n">
        <v>17714</v>
      </c>
      <c r="J10" s="20" t="n">
        <f aca="false">G10/G9-1</f>
        <v>0.0917767028369723</v>
      </c>
      <c r="K10" s="21" t="n">
        <v>80.78</v>
      </c>
      <c r="L10" s="22" t="n">
        <f aca="false">ROUND(K10*F10,2)</f>
        <v>651.2</v>
      </c>
      <c r="M10" s="19" t="n">
        <v>324</v>
      </c>
      <c r="N10" s="21" t="n">
        <v>83.74</v>
      </c>
      <c r="O10" s="22" t="n">
        <f aca="false">IF(N10="","",ROUND(N10*F10,2))</f>
        <v>675.06</v>
      </c>
      <c r="P10" s="19" t="n">
        <v>17818</v>
      </c>
      <c r="Q10" s="21" t="n">
        <v>76.11</v>
      </c>
      <c r="R10" s="21" t="n">
        <v>155</v>
      </c>
      <c r="S10" s="22" t="n">
        <f aca="false">IF(R10="","",ROUND(R10*F10,2))</f>
        <v>1249.51</v>
      </c>
      <c r="T10" s="19" t="n">
        <v>2486</v>
      </c>
    </row>
    <row r="11" customFormat="false" ht="15" hidden="false" customHeight="false" outlineLevel="0" collapsed="false">
      <c r="A11" s="14" t="n">
        <v>19</v>
      </c>
      <c r="B11" s="15" t="n">
        <v>46146</v>
      </c>
      <c r="C11" s="15" t="n">
        <v>46152</v>
      </c>
      <c r="D11" s="14" t="s">
        <v>21</v>
      </c>
      <c r="E11" s="15" t="n">
        <f aca="false">INDEX('Курсы ЦБ'!$A$5:$A$146,MATCH(C11,'Курсы ЦБ'!$A$5:$A$146,1))</f>
        <v>46151</v>
      </c>
      <c r="F11" s="16" t="n">
        <f aca="false">INDEX('Курсы ЦБ'!$D$5:$D$146,MATCH(C11,'Курсы ЦБ'!$A$5:$A$146,1))</f>
        <v>8.04665</v>
      </c>
      <c r="G11" s="17" t="n">
        <v>82.58</v>
      </c>
      <c r="H11" s="18" t="n">
        <f aca="false">ROUND(G11*F11,2)</f>
        <v>664.49</v>
      </c>
      <c r="I11" s="19" t="n">
        <v>21966</v>
      </c>
      <c r="J11" s="20" t="n">
        <f aca="false">G11/G10-1</f>
        <v>-0.0111363908513952</v>
      </c>
      <c r="K11" s="21" t="n">
        <v>68.27</v>
      </c>
      <c r="L11" s="22" t="n">
        <f aca="false">ROUND(K11*F11,2)</f>
        <v>549.34</v>
      </c>
      <c r="M11" s="19" t="n">
        <v>571</v>
      </c>
      <c r="N11" s="21" t="n">
        <v>85.02</v>
      </c>
      <c r="O11" s="22" t="n">
        <f aca="false">IF(N11="","",ROUND(N11*F11,2))</f>
        <v>684.13</v>
      </c>
      <c r="P11" s="19" t="n">
        <v>22019</v>
      </c>
      <c r="Q11" s="21" t="n">
        <v>75.79</v>
      </c>
      <c r="R11" s="21" t="n">
        <v>133.62</v>
      </c>
      <c r="S11" s="22" t="n">
        <f aca="false">IF(R11="","",ROUND(R11*F11,2))</f>
        <v>1075.19</v>
      </c>
      <c r="T11" s="19" t="n">
        <v>2956</v>
      </c>
    </row>
    <row r="12" customFormat="false" ht="15" hidden="false" customHeight="false" outlineLevel="0" collapsed="false">
      <c r="A12" s="14" t="n">
        <v>20</v>
      </c>
      <c r="B12" s="15" t="n">
        <v>46153</v>
      </c>
      <c r="C12" s="15" t="n">
        <v>46159</v>
      </c>
      <c r="D12" s="14" t="s">
        <v>21</v>
      </c>
      <c r="E12" s="15" t="n">
        <f aca="false">INDEX('Курсы ЦБ'!$A$5:$A$146,MATCH(C12,'Курсы ЦБ'!$A$5:$A$146,1))</f>
        <v>46158</v>
      </c>
      <c r="F12" s="16" t="n">
        <f aca="false">INDEX('Курсы ЦБ'!$D$5:$D$146,MATCH(C12,'Курсы ЦБ'!$A$5:$A$146,1))</f>
        <v>7.97552</v>
      </c>
      <c r="G12" s="17" t="n">
        <v>77.29</v>
      </c>
      <c r="H12" s="18" t="n">
        <f aca="false">ROUND(G12*F12,2)</f>
        <v>616.43</v>
      </c>
      <c r="I12" s="19" t="n">
        <v>20806</v>
      </c>
      <c r="J12" s="20" t="n">
        <f aca="false">G12/G11-1</f>
        <v>-0.0640590942116734</v>
      </c>
      <c r="K12" s="21" t="n">
        <v>70.77</v>
      </c>
      <c r="L12" s="22" t="n">
        <f aca="false">ROUND(K12*F12,2)</f>
        <v>564.43</v>
      </c>
      <c r="M12" s="19" t="n">
        <v>363</v>
      </c>
      <c r="N12" s="21" t="n">
        <v>79.46</v>
      </c>
      <c r="O12" s="22" t="n">
        <f aca="false">IF(N12="","",ROUND(N12*F12,2))</f>
        <v>633.73</v>
      </c>
      <c r="P12" s="19" t="n">
        <v>20784</v>
      </c>
      <c r="Q12" s="21" t="n">
        <v>77.89</v>
      </c>
      <c r="R12" s="21" t="n">
        <v>129.49</v>
      </c>
      <c r="S12" s="22" t="n">
        <f aca="false">IF(R12="","",ROUND(R12*F12,2))</f>
        <v>1032.75</v>
      </c>
      <c r="T12" s="19" t="n">
        <v>2470</v>
      </c>
    </row>
    <row r="13" customFormat="false" ht="15" hidden="false" customHeight="false" outlineLevel="0" collapsed="false">
      <c r="A13" s="14" t="n">
        <v>21</v>
      </c>
      <c r="B13" s="15" t="n">
        <v>46160</v>
      </c>
      <c r="C13" s="15" t="n">
        <v>46166</v>
      </c>
      <c r="D13" s="14" t="s">
        <v>21</v>
      </c>
      <c r="E13" s="15" t="n">
        <f aca="false">INDEX('Курсы ЦБ'!$A$5:$A$146,MATCH(C13,'Курсы ЦБ'!$A$5:$A$146,1))</f>
        <v>46165</v>
      </c>
      <c r="F13" s="16" t="n">
        <f aca="false">INDEX('Курсы ЦБ'!$D$5:$D$146,MATCH(C13,'Курсы ЦБ'!$A$5:$A$146,1))</f>
        <v>7.71378</v>
      </c>
      <c r="G13" s="17" t="n">
        <v>73.94</v>
      </c>
      <c r="H13" s="18" t="n">
        <f aca="false">ROUND(G13*F13,2)</f>
        <v>570.36</v>
      </c>
      <c r="I13" s="19" t="n">
        <v>22386</v>
      </c>
      <c r="J13" s="20" t="n">
        <f aca="false">G13/G12-1</f>
        <v>-0.0433432526846941</v>
      </c>
      <c r="K13" s="21" t="n">
        <v>65.27</v>
      </c>
      <c r="L13" s="22" t="n">
        <f aca="false">ROUND(K13*F13,2)</f>
        <v>503.48</v>
      </c>
      <c r="M13" s="19" t="n">
        <v>516</v>
      </c>
      <c r="N13" s="21" t="n">
        <v>74.5</v>
      </c>
      <c r="O13" s="22" t="n">
        <f aca="false">IF(N13="","",ROUND(N13*F13,2))</f>
        <v>574.68</v>
      </c>
      <c r="P13" s="19" t="n">
        <v>22418</v>
      </c>
      <c r="Q13" s="21" t="n">
        <v>78.68</v>
      </c>
      <c r="R13" s="21" t="n">
        <v>126.16</v>
      </c>
      <c r="S13" s="22" t="n">
        <f aca="false">IF(R13="","",ROUND(R13*F13,2))</f>
        <v>973.17</v>
      </c>
      <c r="T13" s="19" t="n">
        <v>2689</v>
      </c>
    </row>
    <row r="14" customFormat="false" ht="15" hidden="false" customHeight="false" outlineLevel="0" collapsed="false">
      <c r="A14" s="14" t="n">
        <v>22</v>
      </c>
      <c r="B14" s="15" t="n">
        <v>46167</v>
      </c>
      <c r="C14" s="15" t="n">
        <v>46173</v>
      </c>
      <c r="D14" s="14" t="s">
        <v>21</v>
      </c>
      <c r="E14" s="15" t="n">
        <f aca="false">INDEX('Курсы ЦБ'!$A$5:$A$146,MATCH(C14,'Курсы ЦБ'!$A$5:$A$146,1))</f>
        <v>46172</v>
      </c>
      <c r="F14" s="16" t="n">
        <f aca="false">INDEX('Курсы ЦБ'!$D$5:$D$146,MATCH(C14,'Курсы ЦБ'!$A$5:$A$146,1))</f>
        <v>7.64372</v>
      </c>
      <c r="G14" s="17" t="n">
        <v>76.29</v>
      </c>
      <c r="H14" s="18" t="n">
        <f aca="false">ROUND(G14*F14,2)</f>
        <v>583.14</v>
      </c>
      <c r="I14" s="19" t="n">
        <v>19539</v>
      </c>
      <c r="J14" s="20" t="n">
        <f aca="false">G14/G13-1</f>
        <v>0.0317825263727347</v>
      </c>
      <c r="K14" s="21" t="n">
        <v>69.98</v>
      </c>
      <c r="L14" s="22" t="n">
        <f aca="false">ROUND(K14*F14,2)</f>
        <v>534.91</v>
      </c>
      <c r="M14" s="19" t="n">
        <v>423</v>
      </c>
      <c r="N14" s="21" t="n">
        <v>77.55</v>
      </c>
      <c r="O14" s="22" t="n">
        <f aca="false">IF(N14="","",ROUND(N14*F14,2))</f>
        <v>592.77</v>
      </c>
      <c r="P14" s="19" t="n">
        <v>19206</v>
      </c>
      <c r="Q14" s="21" t="n">
        <v>70.87</v>
      </c>
      <c r="R14" s="21" t="n">
        <v>161.1</v>
      </c>
      <c r="S14" s="22" t="n">
        <f aca="false">IF(R14="","",ROUND(R14*F14,2))</f>
        <v>1231.4</v>
      </c>
      <c r="T14" s="19" t="n">
        <v>2456</v>
      </c>
    </row>
    <row r="15" customFormat="false" ht="15" hidden="false" customHeight="false" outlineLevel="0" collapsed="false">
      <c r="A15" s="14" t="n">
        <v>23</v>
      </c>
      <c r="B15" s="15" t="n">
        <v>46174</v>
      </c>
      <c r="C15" s="15" t="n">
        <v>46180</v>
      </c>
      <c r="D15" s="14" t="s">
        <v>21</v>
      </c>
      <c r="E15" s="15" t="n">
        <f aca="false">INDEX('Курсы ЦБ'!$A$5:$A$146,MATCH(C15,'Курсы ЦБ'!$A$5:$A$146,1))</f>
        <v>46179</v>
      </c>
      <c r="F15" s="16" t="n">
        <f aca="false">INDEX('Курсы ЦБ'!$D$5:$D$146,MATCH(C15,'Курсы ЦБ'!$A$5:$A$146,1))</f>
        <v>7.88581</v>
      </c>
      <c r="G15" s="17" t="n">
        <v>72.78</v>
      </c>
      <c r="H15" s="18" t="n">
        <f aca="false">ROUND(G15*F15,2)</f>
        <v>573.93</v>
      </c>
      <c r="I15" s="19" t="n">
        <v>22409</v>
      </c>
      <c r="J15" s="20" t="n">
        <f aca="false">G15/G14-1</f>
        <v>-0.0460086511993709</v>
      </c>
      <c r="K15" s="21" t="n">
        <v>74.77</v>
      </c>
      <c r="L15" s="22" t="n">
        <f aca="false">ROUND(K15*F15,2)</f>
        <v>589.62</v>
      </c>
      <c r="M15" s="19" t="n">
        <v>250</v>
      </c>
      <c r="N15" s="21" t="n">
        <v>72.7</v>
      </c>
      <c r="O15" s="22" t="n">
        <f aca="false">IF(N15="","",ROUND(N15*F15,2))</f>
        <v>573.3</v>
      </c>
      <c r="P15" s="19" t="n">
        <v>22403</v>
      </c>
      <c r="Q15" s="21" t="n">
        <v>72.38</v>
      </c>
      <c r="R15" s="21" t="n">
        <v>128.01</v>
      </c>
      <c r="S15" s="22" t="n">
        <f aca="false">IF(R15="","",ROUND(R15*F15,2))</f>
        <v>1009.46</v>
      </c>
      <c r="T15" s="19" t="n">
        <v>2506</v>
      </c>
    </row>
    <row r="16" customFormat="false" ht="15" hidden="false" customHeight="false" outlineLevel="0" collapsed="false">
      <c r="A16" s="14" t="n">
        <v>24</v>
      </c>
      <c r="B16" s="15" t="n">
        <v>46181</v>
      </c>
      <c r="C16" s="15" t="n">
        <v>46187</v>
      </c>
      <c r="D16" s="14" t="s">
        <v>21</v>
      </c>
      <c r="E16" s="15" t="n">
        <f aca="false">INDEX('Курсы ЦБ'!$A$5:$A$146,MATCH(C16,'Курсы ЦБ'!$A$5:$A$146,1))</f>
        <v>46185</v>
      </c>
      <c r="F16" s="16" t="n">
        <f aca="false">INDEX('Курсы ЦБ'!$D$5:$D$146,MATCH(C16,'Курсы ЦБ'!$A$5:$A$146,1))</f>
        <v>7.57617</v>
      </c>
      <c r="G16" s="17" t="n">
        <v>69.85</v>
      </c>
      <c r="H16" s="18" t="n">
        <f aca="false">ROUND(G16*F16,2)</f>
        <v>529.2</v>
      </c>
      <c r="I16" s="19" t="n">
        <v>22593</v>
      </c>
      <c r="J16" s="20" t="n">
        <f aca="false">G16/G15-1</f>
        <v>-0.0402583127232757</v>
      </c>
      <c r="K16" s="21" t="n">
        <v>74.61</v>
      </c>
      <c r="L16" s="22" t="n">
        <f aca="false">ROUND(K16*F16,2)</f>
        <v>565.26</v>
      </c>
      <c r="M16" s="19" t="n">
        <v>587</v>
      </c>
      <c r="N16" s="21" t="n">
        <v>70.68</v>
      </c>
      <c r="O16" s="22" t="n">
        <f aca="false">IF(N16="","",ROUND(N16*F16,2))</f>
        <v>535.48</v>
      </c>
      <c r="P16" s="19" t="n">
        <v>22665</v>
      </c>
      <c r="Q16" s="21" t="n">
        <v>82.82</v>
      </c>
      <c r="R16" s="21" t="n">
        <v>174.61</v>
      </c>
      <c r="S16" s="22" t="n">
        <f aca="false">IF(R16="","",ROUND(R16*F16,2))</f>
        <v>1322.88</v>
      </c>
      <c r="T16" s="19" t="n">
        <v>2447</v>
      </c>
    </row>
    <row r="17" customFormat="false" ht="15" hidden="false" customHeight="false" outlineLevel="0" collapsed="false">
      <c r="A17" s="14" t="n">
        <v>25</v>
      </c>
      <c r="B17" s="15" t="n">
        <v>46188</v>
      </c>
      <c r="C17" s="15" t="n">
        <v>46194</v>
      </c>
      <c r="D17" s="14" t="s">
        <v>21</v>
      </c>
      <c r="E17" s="15" t="n">
        <f aca="false">INDEX('Курсы ЦБ'!$A$5:$A$146,MATCH(C17,'Курсы ЦБ'!$A$5:$A$146,1))</f>
        <v>46193</v>
      </c>
      <c r="F17" s="16" t="n">
        <f aca="false">INDEX('Курсы ЦБ'!$D$5:$D$146,MATCH(C17,'Курсы ЦБ'!$A$5:$A$146,1))</f>
        <v>7.57931</v>
      </c>
      <c r="G17" s="17" t="n">
        <v>70.31</v>
      </c>
      <c r="H17" s="18" t="n">
        <f aca="false">ROUND(G17*F17,2)</f>
        <v>532.9</v>
      </c>
      <c r="I17" s="19" t="n">
        <v>25866</v>
      </c>
      <c r="J17" s="20" t="n">
        <f aca="false">G17/G16-1</f>
        <v>0.00658554044380821</v>
      </c>
      <c r="K17" s="21" t="n">
        <v>74.01</v>
      </c>
      <c r="L17" s="22" t="n">
        <f aca="false">ROUND(K17*F17,2)</f>
        <v>560.94</v>
      </c>
      <c r="M17" s="19" t="n">
        <v>549</v>
      </c>
      <c r="N17" s="21" t="n">
        <v>70.33</v>
      </c>
      <c r="O17" s="22" t="n">
        <f aca="false">IF(N17="","",ROUND(N17*F17,2))</f>
        <v>533.05</v>
      </c>
      <c r="P17" s="19" t="n">
        <v>26012</v>
      </c>
      <c r="Q17" s="21" t="n">
        <v>76.37</v>
      </c>
      <c r="R17" s="21" t="n">
        <v>127.31</v>
      </c>
      <c r="S17" s="22" t="n">
        <f aca="false">IF(R17="","",ROUND(R17*F17,2))</f>
        <v>964.92</v>
      </c>
      <c r="T17" s="19" t="n">
        <v>2541</v>
      </c>
    </row>
    <row r="18" customFormat="false" ht="15" hidden="false" customHeight="false" outlineLevel="0" collapsed="false">
      <c r="A18" s="14" t="n">
        <v>26</v>
      </c>
      <c r="B18" s="15" t="n">
        <v>46195</v>
      </c>
      <c r="C18" s="15" t="n">
        <v>46201</v>
      </c>
      <c r="D18" s="14" t="s">
        <v>21</v>
      </c>
      <c r="E18" s="15" t="n">
        <f aca="false">INDEX('Курсы ЦБ'!$A$5:$A$146,MATCH(C18,'Курсы ЦБ'!$A$5:$A$146,1))</f>
        <v>46200</v>
      </c>
      <c r="F18" s="16" t="n">
        <f aca="false">INDEX('Курсы ЦБ'!$D$5:$D$146,MATCH(C18,'Курсы ЦБ'!$A$5:$A$146,1))</f>
        <v>7.79166</v>
      </c>
      <c r="G18" s="17" t="n">
        <v>68.14</v>
      </c>
      <c r="H18" s="18" t="n">
        <f aca="false">ROUND(G18*F18,2)</f>
        <v>530.92</v>
      </c>
      <c r="I18" s="19" t="n">
        <v>26564</v>
      </c>
      <c r="J18" s="20" t="n">
        <f aca="false">G18/G17-1</f>
        <v>-0.0308633195846963</v>
      </c>
      <c r="K18" s="21" t="n">
        <v>68.02</v>
      </c>
      <c r="L18" s="22" t="n">
        <f aca="false">ROUND(K18*F18,2)</f>
        <v>529.99</v>
      </c>
      <c r="M18" s="19" t="n">
        <v>609</v>
      </c>
      <c r="N18" s="21" t="n">
        <v>68.1</v>
      </c>
      <c r="O18" s="22" t="n">
        <f aca="false">IF(N18="","",ROUND(N18*F18,2))</f>
        <v>530.61</v>
      </c>
      <c r="P18" s="19" t="n">
        <v>26661</v>
      </c>
      <c r="Q18" s="21" t="n">
        <v>68.9</v>
      </c>
      <c r="R18" s="21" t="n">
        <v>121.91</v>
      </c>
      <c r="S18" s="22" t="n">
        <f aca="false">IF(R18="","",ROUND(R18*F18,2))</f>
        <v>949.88</v>
      </c>
      <c r="T18" s="19" t="n">
        <v>2693</v>
      </c>
    </row>
    <row r="19" customFormat="false" ht="15" hidden="false" customHeight="false" outlineLevel="0" collapsed="false">
      <c r="A19" s="14" t="n">
        <v>27</v>
      </c>
      <c r="B19" s="15" t="n">
        <v>46202</v>
      </c>
      <c r="C19" s="15" t="n">
        <v>46208</v>
      </c>
      <c r="D19" s="14" t="s">
        <v>21</v>
      </c>
      <c r="E19" s="15" t="n">
        <f aca="false">INDEX('Курсы ЦБ'!$A$5:$A$146,MATCH(C19,'Курсы ЦБ'!$A$5:$A$146,1))</f>
        <v>46207</v>
      </c>
      <c r="F19" s="16" t="n">
        <f aca="false">INDEX('Курсы ЦБ'!$D$5:$D$146,MATCH(C19,'Курсы ЦБ'!$A$5:$A$146,1))</f>
        <v>7.7982</v>
      </c>
      <c r="G19" s="17" t="n">
        <v>67.31</v>
      </c>
      <c r="H19" s="18" t="n">
        <f aca="false">ROUND(G19*F19,2)</f>
        <v>524.9</v>
      </c>
      <c r="I19" s="19" t="n">
        <v>26491</v>
      </c>
      <c r="J19" s="20" t="n">
        <f aca="false">G19/G18-1</f>
        <v>-0.0121808042265923</v>
      </c>
      <c r="K19" s="21" t="n">
        <v>74.44</v>
      </c>
      <c r="L19" s="22" t="n">
        <f aca="false">ROUND(K19*F19,2)</f>
        <v>580.5</v>
      </c>
      <c r="M19" s="19" t="n">
        <v>272</v>
      </c>
      <c r="N19" s="21" t="n">
        <v>67.65</v>
      </c>
      <c r="O19" s="22" t="n">
        <f aca="false">IF(N19="","",ROUND(N19*F19,2))</f>
        <v>527.55</v>
      </c>
      <c r="P19" s="19" t="n">
        <v>26681</v>
      </c>
      <c r="Q19" s="21" t="n">
        <v>70.45</v>
      </c>
      <c r="R19" s="21" t="n">
        <v>120.62</v>
      </c>
      <c r="S19" s="22" t="n">
        <f aca="false">IF(R19="","",ROUND(R19*F19,2))</f>
        <v>940.62</v>
      </c>
      <c r="T19" s="19" t="n">
        <v>2737</v>
      </c>
    </row>
    <row r="20" customFormat="false" ht="15" hidden="false" customHeight="false" outlineLevel="0" collapsed="false">
      <c r="A20" s="14" t="n">
        <v>28</v>
      </c>
      <c r="B20" s="15" t="n">
        <v>46209</v>
      </c>
      <c r="C20" s="15" t="n">
        <v>46215</v>
      </c>
      <c r="D20" s="14" t="s">
        <v>21</v>
      </c>
      <c r="E20" s="15" t="n">
        <f aca="false">INDEX('Курсы ЦБ'!$A$5:$A$146,MATCH(C20,'Курсы ЦБ'!$A$5:$A$146,1))</f>
        <v>46214</v>
      </c>
      <c r="F20" s="16" t="n">
        <f aca="false">INDEX('Курсы ЦБ'!$D$5:$D$146,MATCH(C20,'Курсы ЦБ'!$A$5:$A$146,1))</f>
        <v>7.87621</v>
      </c>
      <c r="G20" s="17" t="n">
        <v>69.54</v>
      </c>
      <c r="H20" s="18" t="n">
        <f aca="false">ROUND(G20*F20,2)</f>
        <v>547.71</v>
      </c>
      <c r="I20" s="19" t="n">
        <v>26117</v>
      </c>
      <c r="J20" s="20" t="n">
        <f aca="false">G20/G19-1</f>
        <v>0.0331302926756798</v>
      </c>
      <c r="K20" s="21" t="n">
        <v>72.32</v>
      </c>
      <c r="L20" s="22" t="n">
        <f aca="false">ROUND(K20*F20,2)</f>
        <v>569.61</v>
      </c>
      <c r="M20" s="19" t="n">
        <v>503</v>
      </c>
      <c r="N20" s="21" t="n">
        <v>70.56</v>
      </c>
      <c r="O20" s="22" t="n">
        <f aca="false">IF(N20="","",ROUND(N20*F20,2))</f>
        <v>555.75</v>
      </c>
      <c r="P20" s="19" t="n">
        <v>26148</v>
      </c>
      <c r="Q20" s="21" t="n">
        <v>67.42</v>
      </c>
      <c r="R20" s="21" t="n">
        <v>164.25</v>
      </c>
      <c r="S20" s="22" t="n">
        <f aca="false">IF(R20="","",ROUND(R20*F20,2))</f>
        <v>1293.67</v>
      </c>
      <c r="T20" s="19" t="n">
        <v>2680</v>
      </c>
    </row>
    <row r="21" customFormat="false" ht="15" hidden="false" customHeight="false" outlineLevel="0" collapsed="false">
      <c r="A21" s="14" t="n">
        <v>29</v>
      </c>
      <c r="B21" s="15" t="n">
        <v>46216</v>
      </c>
      <c r="C21" s="15" t="n">
        <v>46222</v>
      </c>
      <c r="D21" s="14" t="s">
        <v>21</v>
      </c>
      <c r="E21" s="15" t="n">
        <f aca="false">INDEX('Курсы ЦБ'!$A$5:$A$146,MATCH(C21,'Курсы ЦБ'!$A$5:$A$146,1))</f>
        <v>46221</v>
      </c>
      <c r="F21" s="16" t="n">
        <f aca="false">INDEX('Курсы ЦБ'!$D$5:$D$146,MATCH(C21,'Курсы ЦБ'!$A$5:$A$146,1))</f>
        <v>8.1254</v>
      </c>
      <c r="G21" s="17" t="n">
        <v>69.64</v>
      </c>
      <c r="H21" s="18" t="n">
        <f aca="false">ROUND(G21*F21,2)</f>
        <v>565.85</v>
      </c>
      <c r="I21" s="19" t="n">
        <v>28165</v>
      </c>
      <c r="J21" s="20" t="n">
        <f aca="false">G21/G20-1</f>
        <v>0.00143802128271497</v>
      </c>
      <c r="K21" s="21" t="n">
        <v>72.37</v>
      </c>
      <c r="L21" s="22" t="n">
        <f aca="false">ROUND(K21*F21,2)</f>
        <v>588.04</v>
      </c>
      <c r="M21" s="19" t="n">
        <v>838</v>
      </c>
      <c r="N21" s="21" t="n">
        <v>69.84</v>
      </c>
      <c r="O21" s="22" t="n">
        <f aca="false">IF(N21="","",ROUND(N21*F21,2))</f>
        <v>567.48</v>
      </c>
      <c r="P21" s="19" t="n">
        <v>28300</v>
      </c>
      <c r="Q21" s="21" t="n">
        <v>69.31</v>
      </c>
      <c r="R21" s="21" t="n">
        <v>134.28</v>
      </c>
      <c r="S21" s="22" t="n">
        <f aca="false">IF(R21="","",ROUND(R21*F21,2))</f>
        <v>1091.08</v>
      </c>
      <c r="T21" s="19" t="n">
        <v>2557</v>
      </c>
    </row>
    <row r="22" customFormat="false" ht="15" hidden="false" customHeight="false" outlineLevel="0" collapsed="false">
      <c r="A22" s="14" t="n">
        <v>30</v>
      </c>
      <c r="B22" s="15" t="n">
        <v>46223</v>
      </c>
      <c r="C22" s="15" t="n">
        <v>46229</v>
      </c>
      <c r="D22" s="14" t="s">
        <v>21</v>
      </c>
      <c r="E22" s="15" t="n">
        <f aca="false">INDEX('Курсы ЦБ'!$A$5:$A$146,MATCH(C22,'Курсы ЦБ'!$A$5:$A$146,1))</f>
        <v>46228</v>
      </c>
      <c r="F22" s="16" t="n">
        <f aca="false">INDEX('Курсы ЦБ'!$D$5:$D$146,MATCH(C22,'Курсы ЦБ'!$A$5:$A$146,1))</f>
        <v>8.1162</v>
      </c>
      <c r="G22" s="17" t="n">
        <v>71.31</v>
      </c>
      <c r="H22" s="18" t="n">
        <f aca="false">ROUND(G22*F22,2)</f>
        <v>578.77</v>
      </c>
      <c r="I22" s="19" t="n">
        <v>25822</v>
      </c>
      <c r="J22" s="20" t="n">
        <f aca="false">G22/G21-1</f>
        <v>0.0239804709936817</v>
      </c>
      <c r="K22" s="21" t="n">
        <v>72.08</v>
      </c>
      <c r="L22" s="22" t="n">
        <f aca="false">ROUND(K22*F22,2)</f>
        <v>585.02</v>
      </c>
      <c r="M22" s="19" t="n">
        <v>736</v>
      </c>
      <c r="N22" s="21" t="n">
        <v>71.31</v>
      </c>
      <c r="O22" s="22" t="n">
        <f aca="false">IF(N22="","",ROUND(N22*F22,2))</f>
        <v>578.77</v>
      </c>
      <c r="P22" s="19" t="n">
        <v>25858</v>
      </c>
      <c r="Q22" s="21" t="n">
        <v>66.09</v>
      </c>
      <c r="R22" s="21" t="n">
        <v>122.97</v>
      </c>
      <c r="S22" s="22" t="n">
        <f aca="false">IF(R22="","",ROUND(R22*F22,2))</f>
        <v>998.05</v>
      </c>
      <c r="T22" s="19" t="n">
        <v>2531</v>
      </c>
    </row>
    <row r="23" customFormat="false" ht="15" hidden="false" customHeight="false" outlineLevel="0" collapsed="false">
      <c r="A23" s="14" t="n">
        <v>31</v>
      </c>
      <c r="B23" s="15" t="n">
        <v>46230</v>
      </c>
      <c r="C23" s="15" t="n">
        <v>46236</v>
      </c>
      <c r="D23" s="14" t="s">
        <v>21</v>
      </c>
      <c r="E23" s="15" t="n">
        <f aca="false">INDEX('Курсы ЦБ'!$A$5:$A$146,MATCH(C23,'Курсы ЦБ'!$A$5:$A$146,1))</f>
        <v>46235</v>
      </c>
      <c r="F23" s="16" t="n">
        <f aca="false">INDEX('Курсы ЦБ'!$D$5:$D$146,MATCH(C23,'Курсы ЦБ'!$A$5:$A$146,1))</f>
        <v>8.30854</v>
      </c>
      <c r="G23" s="17" t="n">
        <v>73.57</v>
      </c>
      <c r="H23" s="18" t="n">
        <f aca="false">ROUND(G23*F23,2)</f>
        <v>611.26</v>
      </c>
      <c r="I23" s="19" t="n">
        <v>26958</v>
      </c>
      <c r="J23" s="20" t="n">
        <f aca="false">G23/G22-1</f>
        <v>0.0316926097321553</v>
      </c>
      <c r="K23" s="21" t="n">
        <v>72.79</v>
      </c>
      <c r="L23" s="22" t="n">
        <f aca="false">ROUND(K23*F23,2)</f>
        <v>604.78</v>
      </c>
      <c r="M23" s="19" t="n">
        <v>697</v>
      </c>
      <c r="N23" s="21" t="n">
        <v>73.58</v>
      </c>
      <c r="O23" s="22" t="n">
        <f aca="false">IF(N23="","",ROUND(N23*F23,2))</f>
        <v>611.34</v>
      </c>
      <c r="P23" s="19" t="n">
        <v>27084</v>
      </c>
      <c r="Q23" s="21" t="n">
        <v>61.43</v>
      </c>
      <c r="R23" s="21" t="n">
        <v>122.94</v>
      </c>
      <c r="S23" s="22" t="n">
        <f aca="false">IF(R23="","",ROUND(R23*F23,2))</f>
        <v>1021.45</v>
      </c>
      <c r="T23" s="19" t="n">
        <v>2682</v>
      </c>
    </row>
    <row r="24" customFormat="false" ht="15" hidden="false" customHeight="false" outlineLevel="0" collapsed="false">
      <c r="A24" s="14" t="n">
        <v>32</v>
      </c>
      <c r="B24" s="15" t="n">
        <v>46237</v>
      </c>
      <c r="C24" s="15" t="n">
        <v>46243</v>
      </c>
      <c r="D24" s="14" t="s">
        <v>21</v>
      </c>
      <c r="E24" s="15" t="n">
        <f aca="false">INDEX('Курсы ЦБ'!$A$5:$A$146,MATCH(C24,'Курсы ЦБ'!$A$5:$A$146,1))</f>
        <v>46242</v>
      </c>
      <c r="F24" s="16" t="n">
        <f aca="false">INDEX('Курсы ЦБ'!$D$5:$D$146,MATCH(C24,'Курсы ЦБ'!$A$5:$A$146,1))</f>
        <v>8.62125</v>
      </c>
      <c r="G24" s="17" t="n">
        <v>74.9</v>
      </c>
      <c r="H24" s="18" t="n">
        <f aca="false">ROUND(G24*F24,2)</f>
        <v>645.73</v>
      </c>
      <c r="I24" s="19" t="n">
        <v>28602</v>
      </c>
      <c r="J24" s="20" t="n">
        <f aca="false">G24/G23-1</f>
        <v>0.0180780209324454</v>
      </c>
      <c r="K24" s="21" t="n">
        <v>74.09</v>
      </c>
      <c r="L24" s="22" t="n">
        <f aca="false">ROUND(K24*F24,2)</f>
        <v>638.75</v>
      </c>
      <c r="M24" s="19" t="n">
        <v>638</v>
      </c>
      <c r="N24" s="21" t="n">
        <v>76</v>
      </c>
      <c r="O24" s="22" t="n">
        <f aca="false">IF(N24="","",ROUND(N24*F24,2))</f>
        <v>655.22</v>
      </c>
      <c r="P24" s="19" t="n">
        <v>28704</v>
      </c>
      <c r="Q24" s="21" t="n">
        <v>63.21</v>
      </c>
      <c r="R24" s="21" t="n">
        <v>136.03</v>
      </c>
      <c r="S24" s="22" t="n">
        <f aca="false">IF(R24="","",ROUND(R24*F24,2))</f>
        <v>1172.75</v>
      </c>
      <c r="T24" s="19" t="n">
        <v>2935</v>
      </c>
    </row>
    <row r="25" customFormat="false" ht="15" hidden="false" customHeight="false" outlineLevel="0" collapsed="false">
      <c r="A25" s="14" t="n">
        <v>33</v>
      </c>
      <c r="B25" s="15" t="n">
        <v>46244</v>
      </c>
      <c r="C25" s="15" t="n">
        <v>46250</v>
      </c>
      <c r="D25" s="14" t="s">
        <v>21</v>
      </c>
      <c r="E25" s="15" t="n">
        <f aca="false">INDEX('Курсы ЦБ'!$A$5:$A$146,MATCH(C25,'Курсы ЦБ'!$A$5:$A$146,1))</f>
        <v>46249</v>
      </c>
      <c r="F25" s="16" t="n">
        <f aca="false">INDEX('Курсы ЦБ'!$D$5:$D$146,MATCH(C25,'Курсы ЦБ'!$A$5:$A$146,1))</f>
        <v>8.8762</v>
      </c>
      <c r="G25" s="17" t="n">
        <v>72.66</v>
      </c>
      <c r="H25" s="18" t="n">
        <f aca="false">ROUND(G25*F25,2)</f>
        <v>644.94</v>
      </c>
      <c r="I25" s="19" t="n">
        <v>28762</v>
      </c>
      <c r="J25" s="20" t="n">
        <f aca="false">G25/G24-1</f>
        <v>-0.0299065420560749</v>
      </c>
      <c r="K25" s="21" t="n">
        <v>69.12</v>
      </c>
      <c r="L25" s="22" t="n">
        <f aca="false">ROUND(K25*F25,2)</f>
        <v>613.52</v>
      </c>
      <c r="M25" s="19" t="n">
        <v>751</v>
      </c>
      <c r="N25" s="21" t="n">
        <v>73.74</v>
      </c>
      <c r="O25" s="22" t="n">
        <f aca="false">IF(N25="","",ROUND(N25*F25,2))</f>
        <v>654.53</v>
      </c>
      <c r="P25" s="19" t="n">
        <v>28887</v>
      </c>
      <c r="Q25" s="21" t="n">
        <v>64.45</v>
      </c>
      <c r="R25" s="21" t="n">
        <v>124</v>
      </c>
      <c r="S25" s="22" t="n">
        <f aca="false">IF(R25="","",ROUND(R25*F25,2))</f>
        <v>1100.65</v>
      </c>
      <c r="T25" s="19" t="n">
        <v>2741</v>
      </c>
    </row>
    <row r="26" customFormat="false" ht="15" hidden="false" customHeight="false" outlineLevel="0" collapsed="false">
      <c r="A26" s="14" t="n">
        <v>34</v>
      </c>
      <c r="B26" s="15" t="n">
        <v>46251</v>
      </c>
      <c r="C26" s="15" t="n">
        <v>46257</v>
      </c>
      <c r="D26" s="14" t="s">
        <v>21</v>
      </c>
      <c r="E26" s="15" t="n">
        <f aca="false">INDEX('Курсы ЦБ'!$A$5:$A$146,MATCH(C26,'Курсы ЦБ'!$A$5:$A$146,1))</f>
        <v>46256</v>
      </c>
      <c r="F26" s="16" t="n">
        <f aca="false">INDEX('Курсы ЦБ'!$D$5:$D$146,MATCH(C26,'Курсы ЦБ'!$A$5:$A$146,1))</f>
        <v>8.88424</v>
      </c>
      <c r="G26" s="17" t="n">
        <v>73.52</v>
      </c>
      <c r="H26" s="18" t="n">
        <f aca="false">ROUND(G26*F26,2)</f>
        <v>653.17</v>
      </c>
      <c r="I26" s="19" t="n">
        <v>31378</v>
      </c>
      <c r="J26" s="20" t="n">
        <f aca="false">G26/G25-1</f>
        <v>0.0118359482521333</v>
      </c>
      <c r="K26" s="21" t="n">
        <v>75.03</v>
      </c>
      <c r="L26" s="22" t="n">
        <f aca="false">ROUND(K26*F26,2)</f>
        <v>666.58</v>
      </c>
      <c r="M26" s="19" t="n">
        <v>727</v>
      </c>
      <c r="N26" s="21" t="n">
        <v>73.57</v>
      </c>
      <c r="O26" s="22" t="n">
        <f aca="false">IF(N26="","",ROUND(N26*F26,2))</f>
        <v>653.61</v>
      </c>
      <c r="P26" s="19" t="n">
        <v>31535</v>
      </c>
      <c r="Q26" s="21" t="n">
        <v>67.2</v>
      </c>
      <c r="R26" s="21" t="n">
        <v>137.53</v>
      </c>
      <c r="S26" s="22" t="n">
        <f aca="false">IF(R26="","",ROUND(R26*F26,2))</f>
        <v>1221.85</v>
      </c>
      <c r="T26" s="19" t="n">
        <v>2862</v>
      </c>
    </row>
    <row r="27" customFormat="false" ht="15" hidden="false" customHeight="false" outlineLevel="0" collapsed="false">
      <c r="A27" s="14" t="n">
        <v>35</v>
      </c>
      <c r="B27" s="15" t="n">
        <v>46258</v>
      </c>
      <c r="C27" s="15" t="n">
        <v>46264</v>
      </c>
      <c r="D27" s="14" t="s">
        <v>21</v>
      </c>
      <c r="E27" s="15" t="n">
        <f aca="false">INDEX('Курсы ЦБ'!$A$5:$A$146,MATCH(C27,'Курсы ЦБ'!$A$5:$A$146,1))</f>
        <v>46263</v>
      </c>
      <c r="F27" s="16" t="n">
        <f aca="false">INDEX('Курсы ЦБ'!$D$5:$D$146,MATCH(C27,'Курсы ЦБ'!$A$5:$A$146,1))</f>
        <v>9.16447</v>
      </c>
      <c r="G27" s="17" t="n">
        <v>71.87</v>
      </c>
      <c r="H27" s="18" t="n">
        <f aca="false">ROUND(G27*F27,2)</f>
        <v>658.65</v>
      </c>
      <c r="I27" s="19" t="n">
        <v>30487</v>
      </c>
      <c r="J27" s="20" t="n">
        <f aca="false">G27/G26-1</f>
        <v>-0.022442872687704</v>
      </c>
      <c r="K27" s="21" t="n">
        <v>72.94</v>
      </c>
      <c r="L27" s="22" t="n">
        <f aca="false">ROUND(K27*F27,2)</f>
        <v>668.46</v>
      </c>
      <c r="M27" s="19" t="n">
        <v>720</v>
      </c>
      <c r="N27" s="21" t="n">
        <v>72.02</v>
      </c>
      <c r="O27" s="22" t="n">
        <f aca="false">IF(N27="","",ROUND(N27*F27,2))</f>
        <v>660.03</v>
      </c>
      <c r="P27" s="19" t="n">
        <v>30500</v>
      </c>
      <c r="Q27" s="21" t="n">
        <v>66.36</v>
      </c>
      <c r="R27" s="21" t="n">
        <v>130.75</v>
      </c>
      <c r="S27" s="22" t="n">
        <f aca="false">IF(R27="","",ROUND(R27*F27,2))</f>
        <v>1198.25</v>
      </c>
      <c r="T27" s="19" t="n">
        <v>2940</v>
      </c>
    </row>
    <row r="28" customFormat="false" ht="15" hidden="false" customHeight="false" outlineLevel="0" collapsed="false">
      <c r="A28" s="14" t="n">
        <v>36</v>
      </c>
      <c r="B28" s="15" t="n">
        <v>46265</v>
      </c>
      <c r="C28" s="15" t="n">
        <v>46271</v>
      </c>
      <c r="D28" s="14" t="s">
        <v>21</v>
      </c>
      <c r="E28" s="15" t="n">
        <f aca="false">INDEX('Курсы ЦБ'!$A$5:$A$146,MATCH(C28,'Курсы ЦБ'!$A$5:$A$146,1))</f>
        <v>46270</v>
      </c>
      <c r="F28" s="16" t="n">
        <f aca="false">INDEX('Курсы ЦБ'!$D$5:$D$146,MATCH(C28,'Курсы ЦБ'!$A$5:$A$146,1))</f>
        <v>9.30659</v>
      </c>
      <c r="G28" s="17" t="n">
        <v>69.71</v>
      </c>
      <c r="H28" s="18" t="n">
        <f aca="false">ROUND(G28*F28,2)</f>
        <v>648.76</v>
      </c>
      <c r="I28" s="19" t="n">
        <v>30798</v>
      </c>
      <c r="J28" s="20" t="n">
        <f aca="false">G28/G27-1</f>
        <v>-0.0300542646444971</v>
      </c>
      <c r="K28" s="21" t="n">
        <v>68.07</v>
      </c>
      <c r="L28" s="22" t="n">
        <f aca="false">ROUND(K28*F28,2)</f>
        <v>633.5</v>
      </c>
      <c r="M28" s="19" t="n">
        <v>546</v>
      </c>
      <c r="N28" s="21" t="n">
        <v>71.98</v>
      </c>
      <c r="O28" s="22" t="n">
        <f aca="false">IF(N28="","",ROUND(N28*F28,2))</f>
        <v>669.89</v>
      </c>
      <c r="P28" s="19" t="n">
        <v>30863</v>
      </c>
      <c r="Q28" s="21" t="n">
        <v>71.22</v>
      </c>
      <c r="R28" s="21" t="n">
        <v>131.87</v>
      </c>
      <c r="S28" s="22" t="n">
        <f aca="false">IF(R28="","",ROUND(R28*F28,2))</f>
        <v>1227.26</v>
      </c>
      <c r="T28" s="19" t="n">
        <v>2991</v>
      </c>
    </row>
    <row r="29" customFormat="false" ht="15" hidden="false" customHeight="false" outlineLevel="0" collapsed="false">
      <c r="A29" s="14" t="n">
        <v>37</v>
      </c>
      <c r="B29" s="15" t="n">
        <v>46272</v>
      </c>
      <c r="C29" s="15" t="n">
        <v>46278</v>
      </c>
      <c r="D29" s="14" t="s">
        <v>21</v>
      </c>
      <c r="E29" s="15" t="n">
        <f aca="false">INDEX('Курсы ЦБ'!$A$5:$A$146,MATCH(C29,'Курсы ЦБ'!$A$5:$A$146,1))</f>
        <v>46277</v>
      </c>
      <c r="F29" s="16" t="n">
        <f aca="false">INDEX('Курсы ЦБ'!$D$5:$D$146,MATCH(C29,'Курсы ЦБ'!$A$5:$A$146,1))</f>
        <v>9.09303</v>
      </c>
      <c r="G29" s="17" t="n">
        <v>70.18</v>
      </c>
      <c r="H29" s="18" t="n">
        <f aca="false">ROUND(G29*F29,2)</f>
        <v>638.15</v>
      </c>
      <c r="I29" s="19" t="n">
        <v>30111</v>
      </c>
      <c r="J29" s="20" t="n">
        <f aca="false">G29/G28-1</f>
        <v>0.00674221775928863</v>
      </c>
      <c r="K29" s="21" t="n">
        <v>69.77</v>
      </c>
      <c r="L29" s="22" t="n">
        <f aca="false">ROUND(K29*F29,2)</f>
        <v>634.42</v>
      </c>
      <c r="M29" s="19" t="n">
        <v>697</v>
      </c>
      <c r="N29" s="21" t="n">
        <v>70.42</v>
      </c>
      <c r="O29" s="22" t="n">
        <f aca="false">IF(N29="","",ROUND(N29*F29,2))</f>
        <v>640.33</v>
      </c>
      <c r="P29" s="19" t="n">
        <v>30097</v>
      </c>
      <c r="Q29" s="21" t="n">
        <v>77.14</v>
      </c>
      <c r="R29" s="21" t="n">
        <v>119.97</v>
      </c>
      <c r="S29" s="22" t="n">
        <f aca="false">IF(R29="","",ROUND(R29*F29,2))</f>
        <v>1090.89</v>
      </c>
      <c r="T29" s="19" t="n">
        <v>2907</v>
      </c>
    </row>
    <row r="30" customFormat="false" ht="15" hidden="false" customHeight="false" outlineLevel="0" collapsed="false">
      <c r="A30" s="14" t="n">
        <v>38</v>
      </c>
      <c r="B30" s="15" t="n">
        <v>46279</v>
      </c>
      <c r="C30" s="15" t="n">
        <v>46285</v>
      </c>
      <c r="D30" s="14" t="s">
        <v>21</v>
      </c>
      <c r="E30" s="15" t="n">
        <f aca="false">INDEX('Курсы ЦБ'!$A$5:$A$146,MATCH(C30,'Курсы ЦБ'!$A$5:$A$146,1))</f>
        <v>46284</v>
      </c>
      <c r="F30" s="16" t="n">
        <f aca="false">INDEX('Курсы ЦБ'!$D$5:$D$146,MATCH(C30,'Курсы ЦБ'!$A$5:$A$146,1))</f>
        <v>8.93001</v>
      </c>
      <c r="G30" s="17" t="n">
        <v>71.41</v>
      </c>
      <c r="H30" s="18" t="n">
        <f aca="false">ROUND(G30*F30,2)</f>
        <v>637.69</v>
      </c>
      <c r="I30" s="19" t="n">
        <v>31087</v>
      </c>
      <c r="J30" s="20" t="n">
        <f aca="false">G30/G29-1</f>
        <v>0.0175263607865488</v>
      </c>
      <c r="K30" s="21" t="n">
        <v>73.09</v>
      </c>
      <c r="L30" s="22" t="n">
        <f aca="false">ROUND(K30*F30,2)</f>
        <v>652.69</v>
      </c>
      <c r="M30" s="19" t="n">
        <v>860</v>
      </c>
      <c r="N30" s="21" t="n">
        <v>72.5</v>
      </c>
      <c r="O30" s="22" t="n">
        <f aca="false">IF(N30="","",ROUND(N30*F30,2))</f>
        <v>647.43</v>
      </c>
      <c r="P30" s="19" t="n">
        <v>31120</v>
      </c>
      <c r="Q30" s="21" t="n">
        <v>78.73</v>
      </c>
      <c r="R30" s="21" t="n">
        <v>118.43</v>
      </c>
      <c r="S30" s="22" t="n">
        <f aca="false">IF(R30="","",ROUND(R30*F30,2))</f>
        <v>1057.58</v>
      </c>
      <c r="T30" s="19" t="n">
        <v>3202</v>
      </c>
    </row>
    <row r="31" customFormat="false" ht="15" hidden="false" customHeight="false" outlineLevel="0" collapsed="false">
      <c r="A31" s="14" t="n">
        <v>39</v>
      </c>
      <c r="B31" s="15" t="n">
        <v>46286</v>
      </c>
      <c r="C31" s="15" t="n">
        <v>46292</v>
      </c>
      <c r="D31" s="14" t="s">
        <v>21</v>
      </c>
      <c r="E31" s="15" t="n">
        <f aca="false">INDEX('Курсы ЦБ'!$A$5:$A$146,MATCH(C31,'Курсы ЦБ'!$A$5:$A$146,1))</f>
        <v>46291</v>
      </c>
      <c r="F31" s="16" t="n">
        <f aca="false">INDEX('Курсы ЦБ'!$D$5:$D$146,MATCH(C31,'Курсы ЦБ'!$A$5:$A$146,1))</f>
        <v>8.88552</v>
      </c>
      <c r="G31" s="17" t="n">
        <v>73.59</v>
      </c>
      <c r="H31" s="18" t="n">
        <f aca="false">ROUND(G31*F31,2)</f>
        <v>653.89</v>
      </c>
      <c r="I31" s="19" t="n">
        <v>32385</v>
      </c>
      <c r="J31" s="20" t="n">
        <f aca="false">G31/G30-1</f>
        <v>0.0305279372636886</v>
      </c>
      <c r="K31" s="21" t="n">
        <v>74.68</v>
      </c>
      <c r="L31" s="22" t="n">
        <f aca="false">ROUND(K31*F31,2)</f>
        <v>663.57</v>
      </c>
      <c r="M31" s="19" t="n">
        <v>654</v>
      </c>
      <c r="N31" s="21" t="n">
        <v>73.57</v>
      </c>
      <c r="O31" s="22" t="n">
        <f aca="false">IF(N31="","",ROUND(N31*F31,2))</f>
        <v>653.71</v>
      </c>
      <c r="P31" s="19" t="n">
        <v>32451</v>
      </c>
      <c r="Q31" s="21" t="n">
        <v>79.93</v>
      </c>
      <c r="R31" s="21" t="n">
        <v>119.3</v>
      </c>
      <c r="S31" s="22" t="n">
        <f aca="false">IF(R31="","",ROUND(R31*F31,2))</f>
        <v>1060.04</v>
      </c>
      <c r="T31" s="19" t="n">
        <v>3232</v>
      </c>
    </row>
    <row r="32" customFormat="false" ht="15" hidden="false" customHeight="false" outlineLevel="0" collapsed="false">
      <c r="A32" s="14" t="n">
        <v>40</v>
      </c>
      <c r="B32" s="15" t="n">
        <v>46293</v>
      </c>
      <c r="C32" s="15" t="n">
        <v>46299</v>
      </c>
      <c r="D32" s="14" t="s">
        <v>21</v>
      </c>
      <c r="E32" s="15" t="n">
        <f aca="false">INDEX('Курсы ЦБ'!$A$5:$A$146,MATCH(C32,'Курсы ЦБ'!$A$5:$A$146,1))</f>
        <v>46298</v>
      </c>
      <c r="F32" s="16" t="n">
        <f aca="false">INDEX('Курсы ЦБ'!$D$5:$D$146,MATCH(C32,'Курсы ЦБ'!$A$5:$A$146,1))</f>
        <v>8.67311</v>
      </c>
      <c r="G32" s="17" t="n">
        <v>73.8</v>
      </c>
      <c r="H32" s="18" t="n">
        <f aca="false">ROUND(G32*F32,2)</f>
        <v>640.08</v>
      </c>
      <c r="I32" s="19" t="n">
        <v>30277</v>
      </c>
      <c r="J32" s="20" t="n">
        <f aca="false">G32/G31-1</f>
        <v>0.00285364859355886</v>
      </c>
      <c r="K32" s="21" t="n">
        <v>75.31</v>
      </c>
      <c r="L32" s="22" t="n">
        <f aca="false">ROUND(K32*F32,2)</f>
        <v>653.17</v>
      </c>
      <c r="M32" s="19" t="n">
        <v>936</v>
      </c>
      <c r="N32" s="21" t="n">
        <v>74.4</v>
      </c>
      <c r="O32" s="22" t="n">
        <f aca="false">IF(N32="","",ROUND(N32*F32,2))</f>
        <v>645.28</v>
      </c>
      <c r="P32" s="19" t="n">
        <v>30519</v>
      </c>
      <c r="Q32" s="21" t="n">
        <v>78.29</v>
      </c>
      <c r="R32" s="21" t="n">
        <v>122.06</v>
      </c>
      <c r="S32" s="22" t="n">
        <f aca="false">IF(R32="","",ROUND(R32*F32,2))</f>
        <v>1058.64</v>
      </c>
      <c r="T32" s="19" t="n">
        <v>3410</v>
      </c>
    </row>
    <row r="33" customFormat="false" ht="15" hidden="false" customHeight="false" outlineLevel="0" collapsed="false">
      <c r="A33" s="14" t="n">
        <v>41</v>
      </c>
      <c r="B33" s="15" t="n">
        <v>46300</v>
      </c>
      <c r="C33" s="15" t="n">
        <v>46306</v>
      </c>
      <c r="D33" s="14" t="s">
        <v>21</v>
      </c>
      <c r="E33" s="15" t="n">
        <f aca="false">INDEX('Курсы ЦБ'!$A$5:$A$146,MATCH(C33,'Курсы ЦБ'!$A$5:$A$146,1))</f>
        <v>46305</v>
      </c>
      <c r="F33" s="16" t="n">
        <f aca="false">INDEX('Курсы ЦБ'!$D$5:$D$146,MATCH(C33,'Курсы ЦБ'!$A$5:$A$146,1))</f>
        <v>8.86207</v>
      </c>
      <c r="G33" s="17" t="n">
        <v>72.55</v>
      </c>
      <c r="H33" s="18" t="n">
        <f aca="false">ROUND(G33*F33,2)</f>
        <v>642.94</v>
      </c>
      <c r="I33" s="19" t="n">
        <v>27982</v>
      </c>
      <c r="J33" s="20" t="n">
        <f aca="false">G33/G32-1</f>
        <v>-0.0169376693766937</v>
      </c>
      <c r="K33" s="21" t="n">
        <v>72.12</v>
      </c>
      <c r="L33" s="22" t="n">
        <f aca="false">ROUND(K33*F33,2)</f>
        <v>639.13</v>
      </c>
      <c r="M33" s="19" t="n">
        <v>819</v>
      </c>
      <c r="N33" s="21"/>
      <c r="O33" s="22" t="str">
        <f aca="false">IF(N33="","",ROUND(N33*F33,2))</f>
        <v/>
      </c>
      <c r="P33" s="19"/>
      <c r="Q33" s="21"/>
      <c r="R33" s="21"/>
      <c r="S33" s="22" t="str">
        <f aca="false">IF(R33="","",ROUND(R33*F33,2))</f>
        <v/>
      </c>
      <c r="T33" s="19"/>
    </row>
    <row r="35" customFormat="false" ht="15" hidden="false" customHeight="false" outlineLevel="0" collapsed="false">
      <c r="A35" s="23" t="s">
        <v>22</v>
      </c>
    </row>
    <row r="36" customFormat="false" ht="15" hidden="false" customHeight="false" outlineLevel="0" collapsed="false">
      <c r="A36" s="24" t="s">
        <v>23</v>
      </c>
      <c r="B36" s="24"/>
      <c r="C36" s="24"/>
      <c r="D36" s="24"/>
      <c r="E36" s="24"/>
      <c r="F36" s="24"/>
      <c r="G36" s="25" t="n">
        <f aca="false">MIN(G9:G33)</f>
        <v>67.31</v>
      </c>
      <c r="H36" s="25" t="n">
        <f aca="false">MIN(H9:H33)</f>
        <v>524.9</v>
      </c>
    </row>
    <row r="37" customFormat="false" ht="15" hidden="false" customHeight="false" outlineLevel="0" collapsed="false">
      <c r="A37" s="24" t="s">
        <v>24</v>
      </c>
      <c r="B37" s="24"/>
      <c r="C37" s="24"/>
      <c r="D37" s="24"/>
      <c r="E37" s="24"/>
      <c r="F37" s="24"/>
      <c r="G37" s="25" t="n">
        <f aca="false">MAX(G9:G33)</f>
        <v>83.51</v>
      </c>
      <c r="H37" s="25" t="n">
        <f aca="false">MAX(H9:H33)</f>
        <v>673.2</v>
      </c>
    </row>
    <row r="38" customFormat="false" ht="15" hidden="false" customHeight="false" outlineLevel="0" collapsed="false">
      <c r="A38" s="24" t="s">
        <v>25</v>
      </c>
      <c r="B38" s="24"/>
      <c r="C38" s="24"/>
      <c r="D38" s="24"/>
      <c r="E38" s="24"/>
      <c r="F38" s="24"/>
      <c r="G38" s="25" t="n">
        <f aca="false">AVERAGE(G9:G33)</f>
        <v>73.0696</v>
      </c>
      <c r="H38" s="25" t="n">
        <f aca="false">AVERAGE(H9:H33)</f>
        <v>607.4444</v>
      </c>
    </row>
    <row r="39" customFormat="false" ht="15" hidden="false" customHeight="false" outlineLevel="0" collapsed="false">
      <c r="A39" s="24" t="s">
        <v>26</v>
      </c>
      <c r="B39" s="24"/>
      <c r="C39" s="24"/>
      <c r="D39" s="24"/>
      <c r="E39" s="24"/>
      <c r="F39" s="24"/>
      <c r="G39" s="25" t="n">
        <f aca="false">SUMPRODUCT(G9:G33,I9:I33)/SUM(I9:I33)</f>
        <v>72.7269073987219</v>
      </c>
      <c r="H39" s="25" t="n">
        <f aca="false">SUMPRODUCT(H9:H33,I9:I33)/SUM(I9:I33)</f>
        <v>609.400214388619</v>
      </c>
    </row>
    <row r="40" customFormat="false" ht="15" hidden="false" customHeight="false" outlineLevel="0" collapsed="false">
      <c r="A40" s="24" t="s">
        <v>27</v>
      </c>
      <c r="B40" s="24"/>
      <c r="C40" s="24"/>
      <c r="D40" s="24"/>
      <c r="E40" s="24"/>
      <c r="F40" s="24"/>
      <c r="I40" s="26" t="n">
        <f aca="false">SUM(I9:I33)</f>
        <v>654559</v>
      </c>
    </row>
    <row r="42" customFormat="false" ht="15" hidden="false" customHeight="false" outlineLevel="0" collapsed="false">
      <c r="A42" s="27" t="s">
        <v>28</v>
      </c>
    </row>
  </sheetData>
  <mergeCells count="12">
    <mergeCell ref="A2:T2"/>
    <mergeCell ref="A4:D4"/>
    <mergeCell ref="E4:F4"/>
    <mergeCell ref="G4:J4"/>
    <mergeCell ref="K4:M4"/>
    <mergeCell ref="N4:Q4"/>
    <mergeCell ref="R4:T4"/>
    <mergeCell ref="A36:F36"/>
    <mergeCell ref="A37:F37"/>
    <mergeCell ref="A38:F38"/>
    <mergeCell ref="A39:F39"/>
    <mergeCell ref="A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7" min="5" style="0" width="12"/>
    <col collapsed="false" customWidth="true" hidden="false" outlineLevel="0" max="9" min="8" style="0" width="15"/>
    <col collapsed="false" customWidth="true" hidden="false" outlineLevel="0" max="13" min="10" style="0" width="12"/>
    <col collapsed="false" customWidth="true" hidden="false" outlineLevel="0" max="14" min="14" style="0" width="13"/>
    <col collapsed="false" customWidth="true" hidden="false" outlineLevel="0" max="15" min="15" style="0" width="12"/>
  </cols>
  <sheetData>
    <row r="1" customFormat="false" ht="16.15" hidden="false" customHeight="false" outlineLevel="0" collapsed="false">
      <c r="A1" s="1" t="s">
        <v>29</v>
      </c>
    </row>
    <row r="2" customFormat="false" ht="43.5" hidden="false" customHeight="true" outlineLevel="0" collapsed="false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3.85" hidden="false" customHeight="true" outlineLevel="0" collapsed="false">
      <c r="A4" s="3" t="s">
        <v>2</v>
      </c>
      <c r="B4" s="3"/>
      <c r="C4" s="3"/>
      <c r="D4" s="3" t="s">
        <v>3</v>
      </c>
      <c r="E4" s="3" t="s">
        <v>31</v>
      </c>
      <c r="F4" s="3"/>
      <c r="G4" s="3"/>
      <c r="H4" s="3"/>
      <c r="I4" s="3"/>
      <c r="J4" s="3" t="s">
        <v>32</v>
      </c>
      <c r="K4" s="3"/>
      <c r="L4" s="3" t="s">
        <v>33</v>
      </c>
      <c r="M4" s="3"/>
      <c r="N4" s="3" t="s">
        <v>34</v>
      </c>
      <c r="O4" s="3"/>
    </row>
    <row r="5" customFormat="false" ht="57.75" hidden="false" customHeight="true" outlineLevel="0" collapsed="false">
      <c r="A5" s="4" t="s">
        <v>35</v>
      </c>
      <c r="B5" s="4" t="s">
        <v>36</v>
      </c>
      <c r="C5" s="4" t="s">
        <v>37</v>
      </c>
      <c r="D5" s="4" t="s">
        <v>38</v>
      </c>
      <c r="E5" s="4" t="s">
        <v>14</v>
      </c>
      <c r="F5" s="4" t="s">
        <v>15</v>
      </c>
      <c r="G5" s="4" t="s">
        <v>18</v>
      </c>
      <c r="H5" s="4" t="s">
        <v>39</v>
      </c>
      <c r="I5" s="4" t="s">
        <v>40</v>
      </c>
      <c r="J5" s="4" t="s">
        <v>14</v>
      </c>
      <c r="K5" s="4" t="s">
        <v>15</v>
      </c>
      <c r="L5" s="4" t="s">
        <v>14</v>
      </c>
      <c r="M5" s="4" t="s">
        <v>15</v>
      </c>
      <c r="N5" s="4" t="s">
        <v>14</v>
      </c>
      <c r="O5" s="4" t="s">
        <v>15</v>
      </c>
    </row>
    <row r="6" customFormat="false" ht="15" hidden="false" customHeight="false" outlineLevel="0" collapsed="false">
      <c r="A6" s="14" t="s">
        <v>41</v>
      </c>
      <c r="B6" s="15" t="n">
        <v>46113</v>
      </c>
      <c r="C6" s="15" t="n">
        <v>46142</v>
      </c>
      <c r="D6" s="16" t="n">
        <f aca="false">AVERAGEIFS('Курсы ЦБ'!$D$5:$D$146,'Курсы ЦБ'!$A$5:$A$146,"&gt;="&amp;B6,'Курсы ЦБ'!$A$5:$A$146,"&lt;="&amp;C6)</f>
        <v>8.10629409090909</v>
      </c>
      <c r="E6" s="17" t="n">
        <v>81.35</v>
      </c>
      <c r="F6" s="18" t="n">
        <f aca="false">ROUND(E6*D6,2)</f>
        <v>659.45</v>
      </c>
      <c r="G6" s="19" t="n">
        <v>81723.1</v>
      </c>
      <c r="H6" s="28" t="n">
        <v>6648.5</v>
      </c>
      <c r="I6" s="29" t="n">
        <f aca="false">ROUND(H6*D6,1)</f>
        <v>53894.7</v>
      </c>
      <c r="J6" s="21" t="n">
        <v>133.98</v>
      </c>
      <c r="K6" s="22" t="n">
        <f aca="false">ROUND(J6*D6,2)</f>
        <v>1086.08</v>
      </c>
      <c r="L6" s="21" t="n">
        <v>75.74</v>
      </c>
      <c r="M6" s="22" t="n">
        <f aca="false">ROUND(L6*D6,2)</f>
        <v>613.97</v>
      </c>
      <c r="N6" s="21" t="n">
        <v>82.02</v>
      </c>
      <c r="O6" s="22" t="n">
        <f aca="false">IF(N6="","",ROUND(N6*D6,2))</f>
        <v>664.88</v>
      </c>
    </row>
    <row r="7" customFormat="false" ht="15" hidden="false" customHeight="false" outlineLevel="0" collapsed="false">
      <c r="A7" s="14" t="s">
        <v>42</v>
      </c>
      <c r="B7" s="15" t="n">
        <v>46143</v>
      </c>
      <c r="C7" s="15" t="n">
        <v>46173</v>
      </c>
      <c r="D7" s="16" t="n">
        <f aca="false">AVERAGEIFS('Курсы ЦБ'!$D$5:$D$146,'Курсы ЦБ'!$A$5:$A$146,"&gt;="&amp;B7,'Курсы ЦБ'!$A$5:$A$146,"&lt;="&amp;C7)</f>
        <v>7.8704645</v>
      </c>
      <c r="E7" s="17" t="n">
        <v>77.73</v>
      </c>
      <c r="F7" s="18" t="n">
        <f aca="false">ROUND(E7*D7,2)</f>
        <v>611.77</v>
      </c>
      <c r="G7" s="19" t="n">
        <v>86853.6</v>
      </c>
      <c r="H7" s="28" t="n">
        <v>6751.1</v>
      </c>
      <c r="I7" s="29" t="n">
        <f aca="false">ROUND(H7*D7,1)</f>
        <v>53134.3</v>
      </c>
      <c r="J7" s="21" t="n">
        <v>130.59</v>
      </c>
      <c r="K7" s="22" t="n">
        <f aca="false">ROUND(J7*D7,2)</f>
        <v>1027.8</v>
      </c>
      <c r="L7" s="21" t="n">
        <v>75.88</v>
      </c>
      <c r="M7" s="22" t="n">
        <f aca="false">ROUND(L7*D7,2)</f>
        <v>597.21</v>
      </c>
      <c r="N7" s="21"/>
      <c r="O7" s="22" t="str">
        <f aca="false">IF(N7="","",ROUND(N7*D7,2))</f>
        <v/>
      </c>
    </row>
    <row r="8" customFormat="false" ht="15" hidden="false" customHeight="false" outlineLevel="0" collapsed="false">
      <c r="A8" s="14" t="s">
        <v>43</v>
      </c>
      <c r="B8" s="15" t="n">
        <v>46174</v>
      </c>
      <c r="C8" s="15" t="n">
        <v>46203</v>
      </c>
      <c r="D8" s="16" t="n">
        <f aca="false">AVERAGEIFS('Курсы ЦБ'!$D$5:$D$146,'Курсы ЦБ'!$A$5:$A$146,"&gt;="&amp;B8,'Курсы ЦБ'!$A$5:$A$146,"&lt;="&amp;C8)</f>
        <v>7.7197385</v>
      </c>
      <c r="E8" s="17" t="n">
        <v>70.07</v>
      </c>
      <c r="F8" s="18" t="n">
        <f aca="false">ROUND(E8*D8,2)</f>
        <v>540.92</v>
      </c>
      <c r="G8" s="19" t="n">
        <v>104439.3</v>
      </c>
      <c r="H8" s="28" t="n">
        <v>7317.7</v>
      </c>
      <c r="I8" s="29" t="n">
        <f aca="false">ROUND(H8*D8,1)</f>
        <v>56490.7</v>
      </c>
      <c r="J8" s="21" t="n">
        <v>124.78</v>
      </c>
      <c r="K8" s="22" t="n">
        <f aca="false">ROUND(J8*D8,2)</f>
        <v>963.27</v>
      </c>
      <c r="L8" s="21" t="n">
        <v>74.63</v>
      </c>
      <c r="M8" s="22" t="n">
        <f aca="false">ROUND(L8*D8,2)</f>
        <v>576.12</v>
      </c>
      <c r="N8" s="21"/>
      <c r="O8" s="22" t="str">
        <f aca="false">IF(N8="","",ROUND(N8*D8,2))</f>
        <v/>
      </c>
    </row>
    <row r="9" customFormat="false" ht="15" hidden="false" customHeight="false" outlineLevel="0" collapsed="false">
      <c r="A9" s="14" t="s">
        <v>44</v>
      </c>
      <c r="B9" s="15" t="n">
        <v>46204</v>
      </c>
      <c r="C9" s="15" t="n">
        <v>46234</v>
      </c>
      <c r="D9" s="16" t="n">
        <f aca="false">AVERAGEIFS('Курсы ЦБ'!$D$5:$D$146,'Курсы ЦБ'!$A$5:$A$146,"&gt;="&amp;B9,'Курсы ЦБ'!$A$5:$A$146,"&lt;="&amp;C9)</f>
        <v>7.99769086956522</v>
      </c>
      <c r="E9" s="17" t="n">
        <v>70.28</v>
      </c>
      <c r="F9" s="18" t="n">
        <f aca="false">ROUND(E9*D9,2)</f>
        <v>562.08</v>
      </c>
      <c r="G9" s="19" t="n">
        <v>121686.8</v>
      </c>
      <c r="H9" s="28" t="n">
        <v>8552.4</v>
      </c>
      <c r="I9" s="29" t="n">
        <f aca="false">ROUND(H9*D9,1)</f>
        <v>68399.5</v>
      </c>
      <c r="J9" s="21" t="n">
        <v>122.24</v>
      </c>
      <c r="K9" s="22" t="n">
        <f aca="false">ROUND(J9*D9,2)</f>
        <v>977.64</v>
      </c>
      <c r="L9" s="21" t="n">
        <v>74.43</v>
      </c>
      <c r="M9" s="22" t="n">
        <f aca="false">ROUND(L9*D9,2)</f>
        <v>595.27</v>
      </c>
      <c r="N9" s="21" t="n">
        <v>71.48</v>
      </c>
      <c r="O9" s="22" t="n">
        <f aca="false">IF(N9="","",ROUND(N9*D9,2))</f>
        <v>571.67</v>
      </c>
    </row>
    <row r="10" customFormat="false" ht="15" hidden="false" customHeight="false" outlineLevel="0" collapsed="false">
      <c r="A10" s="14" t="s">
        <v>45</v>
      </c>
      <c r="B10" s="15" t="n">
        <v>46235</v>
      </c>
      <c r="C10" s="15" t="n">
        <v>46265</v>
      </c>
      <c r="D10" s="16" t="n">
        <f aca="false">AVERAGEIFS('Курсы ЦБ'!$D$5:$D$146,'Курсы ЦБ'!$A$5:$A$146,"&gt;="&amp;B10,'Курсы ЦБ'!$A$5:$A$146,"&lt;="&amp;C10)</f>
        <v>8.80691714285714</v>
      </c>
      <c r="E10" s="17" t="n">
        <v>73.13</v>
      </c>
      <c r="F10" s="18" t="n">
        <f aca="false">ROUND(E10*D10,2)</f>
        <v>644.05</v>
      </c>
      <c r="G10" s="19" t="n">
        <v>126323.1</v>
      </c>
      <c r="H10" s="28" t="n">
        <v>9238.6</v>
      </c>
      <c r="I10" s="29" t="n">
        <f aca="false">ROUND(H10*D10,1)</f>
        <v>81363.6</v>
      </c>
      <c r="J10" s="21" t="n">
        <v>122.95</v>
      </c>
      <c r="K10" s="22" t="n">
        <f aca="false">ROUND(J10*D10,2)</f>
        <v>1082.81</v>
      </c>
      <c r="L10" s="21" t="n">
        <v>73.85</v>
      </c>
      <c r="M10" s="22" t="n">
        <f aca="false">ROUND(L10*D10,2)</f>
        <v>650.39</v>
      </c>
      <c r="N10" s="21" t="n">
        <v>74</v>
      </c>
      <c r="O10" s="22" t="n">
        <f aca="false">IF(N10="","",ROUND(N10*D10,2))</f>
        <v>651.71</v>
      </c>
    </row>
    <row r="11" customFormat="false" ht="15" hidden="false" customHeight="false" outlineLevel="0" collapsed="false">
      <c r="A11" s="14" t="s">
        <v>46</v>
      </c>
      <c r="B11" s="15" t="n">
        <v>46266</v>
      </c>
      <c r="C11" s="15" t="n">
        <v>46295</v>
      </c>
      <c r="D11" s="16" t="n">
        <f aca="false">AVERAGEIFS('Курсы ЦБ'!$D$5:$D$146,'Курсы ЦБ'!$A$5:$A$146,"&gt;="&amp;B11,'Курсы ЦБ'!$A$5:$A$146,"&lt;="&amp;C11)</f>
        <v>9.09548909090909</v>
      </c>
      <c r="E11" s="17" t="n">
        <v>71.6</v>
      </c>
      <c r="F11" s="18" t="n">
        <f aca="false">ROUND(E11*D11,2)</f>
        <v>651.24</v>
      </c>
      <c r="G11" s="19" t="n">
        <v>133248.9</v>
      </c>
      <c r="H11" s="28" t="n">
        <v>9540.9</v>
      </c>
      <c r="I11" s="29" t="n">
        <f aca="false">ROUND(H11*D11,1)</f>
        <v>86779.2</v>
      </c>
      <c r="J11" s="21" t="n">
        <v>119.91</v>
      </c>
      <c r="K11" s="22" t="n">
        <f aca="false">ROUND(J11*D11,2)</f>
        <v>1090.64</v>
      </c>
      <c r="L11" s="21" t="n">
        <v>74.63</v>
      </c>
      <c r="M11" s="22" t="n">
        <f aca="false">ROUND(L11*D11,2)</f>
        <v>678.8</v>
      </c>
      <c r="N11" s="21"/>
      <c r="O11" s="22" t="str">
        <f aca="false">IF(N11="","",ROUND(N11*D11,2))</f>
        <v/>
      </c>
    </row>
    <row r="13" customFormat="false" ht="15" hidden="false" customHeight="false" outlineLevel="0" collapsed="false">
      <c r="A13" s="27" t="s">
        <v>47</v>
      </c>
    </row>
    <row r="14" customFormat="false" ht="15" hidden="false" customHeight="false" outlineLevel="0" collapsed="false">
      <c r="A14" s="27" t="s">
        <v>48</v>
      </c>
    </row>
  </sheetData>
  <mergeCells count="6">
    <mergeCell ref="A2:O2"/>
    <mergeCell ref="A4:C4"/>
    <mergeCell ref="E4:I4"/>
    <mergeCell ref="J4:K4"/>
    <mergeCell ref="L4:M4"/>
    <mergeCell ref="N4:O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30" t="s">
        <v>49</v>
      </c>
    </row>
    <row r="2" customFormat="false" ht="23.85" hidden="false" customHeight="false" outlineLevel="0" collapsed="false">
      <c r="A2" s="31" t="s">
        <v>50</v>
      </c>
    </row>
    <row r="3" customFormat="false" ht="15" hidden="false" customHeight="false" outlineLevel="0" collapsed="false">
      <c r="A3" s="31" t="s">
        <v>51</v>
      </c>
    </row>
    <row r="4" customFormat="false" ht="15" hidden="false" customHeight="false" outlineLevel="0" collapsed="false">
      <c r="A4" s="31"/>
    </row>
    <row r="5" customFormat="false" ht="15" hidden="false" customHeight="false" outlineLevel="0" collapsed="false">
      <c r="A5" s="30" t="s">
        <v>52</v>
      </c>
    </row>
    <row r="6" customFormat="false" ht="23.85" hidden="false" customHeight="false" outlineLevel="0" collapsed="false">
      <c r="A6" s="31" t="s">
        <v>53</v>
      </c>
    </row>
    <row r="7" customFormat="false" ht="15" hidden="false" customHeight="false" outlineLevel="0" collapsed="false">
      <c r="A7" s="31" t="s">
        <v>54</v>
      </c>
    </row>
    <row r="8" customFormat="false" ht="23.85" hidden="false" customHeight="false" outlineLevel="0" collapsed="false">
      <c r="A8" s="31" t="s">
        <v>55</v>
      </c>
    </row>
    <row r="9" customFormat="false" ht="15" hidden="false" customHeight="false" outlineLevel="0" collapsed="false">
      <c r="A9" s="31" t="s">
        <v>56</v>
      </c>
    </row>
    <row r="10" customFormat="false" ht="15" hidden="false" customHeight="false" outlineLevel="0" collapsed="false">
      <c r="A10" s="31"/>
    </row>
    <row r="11" customFormat="false" ht="15" hidden="false" customHeight="false" outlineLevel="0" collapsed="false">
      <c r="A11" s="30" t="s">
        <v>57</v>
      </c>
    </row>
    <row r="12" customFormat="false" ht="23.85" hidden="false" customHeight="false" outlineLevel="0" collapsed="false">
      <c r="A12" s="31" t="s">
        <v>58</v>
      </c>
    </row>
    <row r="13" customFormat="false" ht="15" hidden="false" customHeight="false" outlineLevel="0" collapsed="false">
      <c r="A13" s="31" t="s">
        <v>59</v>
      </c>
    </row>
    <row r="14" customFormat="false" ht="15" hidden="false" customHeight="false" outlineLevel="0" collapsed="false">
      <c r="A14" s="31" t="s">
        <v>60</v>
      </c>
    </row>
    <row r="15" customFormat="false" ht="15" hidden="false" customHeight="false" outlineLevel="0" collapsed="false">
      <c r="A15" s="31"/>
    </row>
    <row r="16" customFormat="false" ht="15" hidden="false" customHeight="false" outlineLevel="0" collapsed="false">
      <c r="A16" s="30" t="s">
        <v>61</v>
      </c>
    </row>
    <row r="17" customFormat="false" ht="15" hidden="false" customHeight="false" outlineLevel="0" collapsed="false">
      <c r="A17" s="31" t="s">
        <v>62</v>
      </c>
    </row>
    <row r="18" customFormat="false" ht="15" hidden="false" customHeight="false" outlineLevel="0" collapsed="false">
      <c r="A18" s="31" t="s">
        <v>63</v>
      </c>
    </row>
    <row r="19" customFormat="false" ht="23.85" hidden="false" customHeight="false" outlineLevel="0" collapsed="false">
      <c r="A19" s="31" t="s">
        <v>64</v>
      </c>
    </row>
    <row r="20" customFormat="false" ht="15" hidden="false" customHeight="false" outlineLevel="0" collapsed="false">
      <c r="A20" s="31" t="s">
        <v>65</v>
      </c>
    </row>
    <row r="21" customFormat="false" ht="15" hidden="false" customHeight="false" outlineLevel="0" collapsed="false">
      <c r="A21" s="31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32" t="s">
        <v>67</v>
      </c>
    </row>
    <row r="2" customFormat="false" ht="15" hidden="false" customHeight="false" outlineLevel="0" collapsed="false">
      <c r="A2" s="27" t="s">
        <v>68</v>
      </c>
    </row>
    <row r="4" customFormat="false" ht="15" hidden="false" customHeight="false" outlineLevel="0" collapsed="false">
      <c r="A4" s="3" t="s">
        <v>69</v>
      </c>
      <c r="B4" s="3" t="s">
        <v>70</v>
      </c>
      <c r="C4" s="3" t="s">
        <v>71</v>
      </c>
      <c r="D4" s="3" t="s">
        <v>13</v>
      </c>
    </row>
    <row r="5" customFormat="false" ht="15" hidden="false" customHeight="false" outlineLevel="0" collapsed="false">
      <c r="A5" s="15" t="n">
        <v>46112</v>
      </c>
      <c r="B5" s="14" t="n">
        <v>10</v>
      </c>
      <c r="C5" s="33" t="n">
        <v>83.6821</v>
      </c>
      <c r="D5" s="16" t="n">
        <f aca="false">C5/B5</f>
        <v>8.36821</v>
      </c>
    </row>
    <row r="6" customFormat="false" ht="15" hidden="false" customHeight="false" outlineLevel="0" collapsed="false">
      <c r="A6" s="15" t="n">
        <v>46113</v>
      </c>
      <c r="B6" s="14" t="n">
        <v>10</v>
      </c>
      <c r="C6" s="33" t="n">
        <v>83.3252</v>
      </c>
      <c r="D6" s="16" t="n">
        <f aca="false">C6/B6</f>
        <v>8.33252</v>
      </c>
    </row>
    <row r="7" customFormat="false" ht="15" hidden="false" customHeight="false" outlineLevel="0" collapsed="false">
      <c r="A7" s="15" t="n">
        <v>46114</v>
      </c>
      <c r="B7" s="14" t="n">
        <v>10</v>
      </c>
      <c r="C7" s="33" t="n">
        <v>82.6763</v>
      </c>
      <c r="D7" s="16" t="n">
        <f aca="false">C7/B7</f>
        <v>8.26763</v>
      </c>
    </row>
    <row r="8" customFormat="false" ht="15" hidden="false" customHeight="false" outlineLevel="0" collapsed="false">
      <c r="A8" s="15" t="n">
        <v>46115</v>
      </c>
      <c r="B8" s="14" t="n">
        <v>10</v>
      </c>
      <c r="C8" s="33" t="n">
        <v>83.1787</v>
      </c>
      <c r="D8" s="16" t="n">
        <f aca="false">C8/B8</f>
        <v>8.31787</v>
      </c>
    </row>
    <row r="9" customFormat="false" ht="15" hidden="false" customHeight="false" outlineLevel="0" collapsed="false">
      <c r="A9" s="15" t="n">
        <v>46116</v>
      </c>
      <c r="B9" s="14" t="n">
        <v>10</v>
      </c>
      <c r="C9" s="33" t="n">
        <v>82.5535</v>
      </c>
      <c r="D9" s="16" t="n">
        <f aca="false">C9/B9</f>
        <v>8.25535</v>
      </c>
    </row>
    <row r="10" customFormat="false" ht="15" hidden="false" customHeight="false" outlineLevel="0" collapsed="false">
      <c r="A10" s="15" t="n">
        <v>46119</v>
      </c>
      <c r="B10" s="14" t="n">
        <v>10</v>
      </c>
      <c r="C10" s="33" t="n">
        <v>81.5164</v>
      </c>
      <c r="D10" s="16" t="n">
        <f aca="false">C10/B10</f>
        <v>8.15164</v>
      </c>
    </row>
    <row r="11" customFormat="false" ht="15" hidden="false" customHeight="false" outlineLevel="0" collapsed="false">
      <c r="A11" s="15" t="n">
        <v>46120</v>
      </c>
      <c r="B11" s="14" t="n">
        <v>10</v>
      </c>
      <c r="C11" s="33" t="n">
        <v>81.5391</v>
      </c>
      <c r="D11" s="16" t="n">
        <f aca="false">C11/B11</f>
        <v>8.15391</v>
      </c>
    </row>
    <row r="12" customFormat="false" ht="15" hidden="false" customHeight="false" outlineLevel="0" collapsed="false">
      <c r="A12" s="15" t="n">
        <v>46121</v>
      </c>
      <c r="B12" s="14" t="n">
        <v>10</v>
      </c>
      <c r="C12" s="33" t="n">
        <v>80.923</v>
      </c>
      <c r="D12" s="16" t="n">
        <f aca="false">C12/B12</f>
        <v>8.0923</v>
      </c>
    </row>
    <row r="13" customFormat="false" ht="15" hidden="false" customHeight="false" outlineLevel="0" collapsed="false">
      <c r="A13" s="15" t="n">
        <v>46122</v>
      </c>
      <c r="B13" s="14" t="n">
        <v>10</v>
      </c>
      <c r="C13" s="33" t="n">
        <v>81.6925</v>
      </c>
      <c r="D13" s="16" t="n">
        <f aca="false">C13/B13</f>
        <v>8.16925</v>
      </c>
    </row>
    <row r="14" customFormat="false" ht="15" hidden="false" customHeight="false" outlineLevel="0" collapsed="false">
      <c r="A14" s="15" t="n">
        <v>46123</v>
      </c>
      <c r="B14" s="14" t="n">
        <v>10</v>
      </c>
      <c r="C14" s="33" t="n">
        <v>80.8364</v>
      </c>
      <c r="D14" s="16" t="n">
        <f aca="false">C14/B14</f>
        <v>8.08364</v>
      </c>
    </row>
    <row r="15" customFormat="false" ht="15" hidden="false" customHeight="false" outlineLevel="0" collapsed="false">
      <c r="A15" s="15" t="n">
        <v>46126</v>
      </c>
      <c r="B15" s="14" t="n">
        <v>10</v>
      </c>
      <c r="C15" s="33" t="n">
        <v>80.3263</v>
      </c>
      <c r="D15" s="16" t="n">
        <f aca="false">C15/B15</f>
        <v>8.03263</v>
      </c>
    </row>
    <row r="16" customFormat="false" ht="15" hidden="false" customHeight="false" outlineLevel="0" collapsed="false">
      <c r="A16" s="15" t="n">
        <v>46127</v>
      </c>
      <c r="B16" s="14" t="n">
        <v>10</v>
      </c>
      <c r="C16" s="33" t="n">
        <v>79.8581</v>
      </c>
      <c r="D16" s="16" t="n">
        <f aca="false">C16/B16</f>
        <v>7.98581</v>
      </c>
    </row>
    <row r="17" customFormat="false" ht="15" hidden="false" customHeight="false" outlineLevel="0" collapsed="false">
      <c r="A17" s="15" t="n">
        <v>46128</v>
      </c>
      <c r="B17" s="14" t="n">
        <v>10</v>
      </c>
      <c r="C17" s="33" t="n">
        <v>79.9246</v>
      </c>
      <c r="D17" s="16" t="n">
        <f aca="false">C17/B17</f>
        <v>7.99246</v>
      </c>
    </row>
    <row r="18" customFormat="false" ht="15" hidden="false" customHeight="false" outlineLevel="0" collapsed="false">
      <c r="A18" s="15" t="n">
        <v>46129</v>
      </c>
      <c r="B18" s="14" t="n">
        <v>10</v>
      </c>
      <c r="C18" s="33" t="n">
        <v>80.6022</v>
      </c>
      <c r="D18" s="16" t="n">
        <f aca="false">C18/B18</f>
        <v>8.06022</v>
      </c>
    </row>
    <row r="19" customFormat="false" ht="15" hidden="false" customHeight="false" outlineLevel="0" collapsed="false">
      <c r="A19" s="15" t="n">
        <v>46130</v>
      </c>
      <c r="B19" s="14" t="n">
        <v>10</v>
      </c>
      <c r="C19" s="33" t="n">
        <v>81.1064</v>
      </c>
      <c r="D19" s="16" t="n">
        <f aca="false">C19/B19</f>
        <v>8.11064</v>
      </c>
    </row>
    <row r="20" customFormat="false" ht="15" hidden="false" customHeight="false" outlineLevel="0" collapsed="false">
      <c r="A20" s="15" t="n">
        <v>46133</v>
      </c>
      <c r="B20" s="14" t="n">
        <v>10</v>
      </c>
      <c r="C20" s="33" t="n">
        <v>80.5639</v>
      </c>
      <c r="D20" s="16" t="n">
        <f aca="false">C20/B20</f>
        <v>8.05639</v>
      </c>
    </row>
    <row r="21" customFormat="false" ht="15" hidden="false" customHeight="false" outlineLevel="0" collapsed="false">
      <c r="A21" s="15" t="n">
        <v>46134</v>
      </c>
      <c r="B21" s="14" t="n">
        <v>10</v>
      </c>
      <c r="C21" s="33" t="n">
        <v>79.9281</v>
      </c>
      <c r="D21" s="16" t="n">
        <f aca="false">C21/B21</f>
        <v>7.99281</v>
      </c>
    </row>
    <row r="22" customFormat="false" ht="15" hidden="false" customHeight="false" outlineLevel="0" collapsed="false">
      <c r="A22" s="15" t="n">
        <v>46135</v>
      </c>
      <c r="B22" s="14" t="n">
        <v>10</v>
      </c>
      <c r="C22" s="33" t="n">
        <v>80.4707</v>
      </c>
      <c r="D22" s="16" t="n">
        <f aca="false">C22/B22</f>
        <v>8.04707</v>
      </c>
    </row>
    <row r="23" customFormat="false" ht="15" hidden="false" customHeight="false" outlineLevel="0" collapsed="false">
      <c r="A23" s="15" t="n">
        <v>46136</v>
      </c>
      <c r="B23" s="14" t="n">
        <v>10</v>
      </c>
      <c r="C23" s="33" t="n">
        <v>80.465</v>
      </c>
      <c r="D23" s="16" t="n">
        <f aca="false">C23/B23</f>
        <v>8.0465</v>
      </c>
    </row>
    <row r="24" customFormat="false" ht="15" hidden="false" customHeight="false" outlineLevel="0" collapsed="false">
      <c r="A24" s="15" t="n">
        <v>46137</v>
      </c>
      <c r="B24" s="14" t="n">
        <v>10</v>
      </c>
      <c r="C24" s="33" t="n">
        <v>80.9328</v>
      </c>
      <c r="D24" s="16" t="n">
        <f aca="false">C24/B24</f>
        <v>8.09328</v>
      </c>
    </row>
    <row r="25" customFormat="false" ht="15" hidden="false" customHeight="false" outlineLevel="0" collapsed="false">
      <c r="A25" s="15" t="n">
        <v>46140</v>
      </c>
      <c r="B25" s="14" t="n">
        <v>10</v>
      </c>
      <c r="C25" s="33" t="n">
        <v>79.9958</v>
      </c>
      <c r="D25" s="16" t="n">
        <f aca="false">C25/B25</f>
        <v>7.99958</v>
      </c>
    </row>
    <row r="26" customFormat="false" ht="15" hidden="false" customHeight="false" outlineLevel="0" collapsed="false">
      <c r="A26" s="15" t="n">
        <v>46141</v>
      </c>
      <c r="B26" s="14" t="n">
        <v>10</v>
      </c>
      <c r="C26" s="33" t="n">
        <v>80.6386</v>
      </c>
      <c r="D26" s="16" t="n">
        <f aca="false">C26/B26</f>
        <v>8.06386</v>
      </c>
    </row>
    <row r="27" customFormat="false" ht="15" hidden="false" customHeight="false" outlineLevel="0" collapsed="false">
      <c r="A27" s="15" t="n">
        <v>46142</v>
      </c>
      <c r="B27" s="14" t="n">
        <v>10</v>
      </c>
      <c r="C27" s="33" t="n">
        <v>80.3311</v>
      </c>
      <c r="D27" s="16" t="n">
        <f aca="false">C27/B27</f>
        <v>8.03311</v>
      </c>
    </row>
    <row r="28" customFormat="false" ht="15" hidden="false" customHeight="false" outlineLevel="0" collapsed="false">
      <c r="A28" s="15" t="n">
        <v>46143</v>
      </c>
      <c r="B28" s="14" t="n">
        <v>10</v>
      </c>
      <c r="C28" s="33" t="n">
        <v>80.6136</v>
      </c>
      <c r="D28" s="16" t="n">
        <f aca="false">C28/B28</f>
        <v>8.06136</v>
      </c>
    </row>
    <row r="29" customFormat="false" ht="15" hidden="false" customHeight="false" outlineLevel="0" collapsed="false">
      <c r="A29" s="15" t="n">
        <v>46147</v>
      </c>
      <c r="B29" s="14" t="n">
        <v>10</v>
      </c>
      <c r="C29" s="33" t="n">
        <v>80.8978</v>
      </c>
      <c r="D29" s="16" t="n">
        <f aca="false">C29/B29</f>
        <v>8.08978</v>
      </c>
    </row>
    <row r="30" customFormat="false" ht="15" hidden="false" customHeight="false" outlineLevel="0" collapsed="false">
      <c r="A30" s="15" t="n">
        <v>46148</v>
      </c>
      <c r="B30" s="14" t="n">
        <v>10</v>
      </c>
      <c r="C30" s="33" t="n">
        <v>81.4125</v>
      </c>
      <c r="D30" s="16" t="n">
        <f aca="false">C30/B30</f>
        <v>8.14125</v>
      </c>
    </row>
    <row r="31" customFormat="false" ht="15" hidden="false" customHeight="false" outlineLevel="0" collapsed="false">
      <c r="A31" s="15" t="n">
        <v>46149</v>
      </c>
      <c r="B31" s="14" t="n">
        <v>10</v>
      </c>
      <c r="C31" s="33" t="n">
        <v>81.3547</v>
      </c>
      <c r="D31" s="16" t="n">
        <f aca="false">C31/B31</f>
        <v>8.13547</v>
      </c>
    </row>
    <row r="32" customFormat="false" ht="15" hidden="false" customHeight="false" outlineLevel="0" collapsed="false">
      <c r="A32" s="15" t="n">
        <v>46150</v>
      </c>
      <c r="B32" s="14" t="n">
        <v>10</v>
      </c>
      <c r="C32" s="33" t="n">
        <v>80.5372</v>
      </c>
      <c r="D32" s="16" t="n">
        <f aca="false">C32/B32</f>
        <v>8.05372</v>
      </c>
    </row>
    <row r="33" customFormat="false" ht="15" hidden="false" customHeight="false" outlineLevel="0" collapsed="false">
      <c r="A33" s="15" t="n">
        <v>46151</v>
      </c>
      <c r="B33" s="14" t="n">
        <v>10</v>
      </c>
      <c r="C33" s="33" t="n">
        <v>80.4665</v>
      </c>
      <c r="D33" s="16" t="n">
        <f aca="false">C33/B33</f>
        <v>8.04665</v>
      </c>
    </row>
    <row r="34" customFormat="false" ht="15" hidden="false" customHeight="false" outlineLevel="0" collapsed="false">
      <c r="A34" s="15" t="n">
        <v>46155</v>
      </c>
      <c r="B34" s="14" t="n">
        <v>10</v>
      </c>
      <c r="C34" s="33" t="n">
        <v>80.1771</v>
      </c>
      <c r="D34" s="16" t="n">
        <f aca="false">C34/B34</f>
        <v>8.01771</v>
      </c>
    </row>
    <row r="35" customFormat="false" ht="15" hidden="false" customHeight="false" outlineLevel="0" collapsed="false">
      <c r="A35" s="15" t="n">
        <v>46156</v>
      </c>
      <c r="B35" s="14" t="n">
        <v>10</v>
      </c>
      <c r="C35" s="33" t="n">
        <v>79.9263</v>
      </c>
      <c r="D35" s="16" t="n">
        <f aca="false">C35/B35</f>
        <v>7.99263</v>
      </c>
    </row>
    <row r="36" customFormat="false" ht="15" hidden="false" customHeight="false" outlineLevel="0" collapsed="false">
      <c r="A36" s="15" t="n">
        <v>46157</v>
      </c>
      <c r="B36" s="14" t="n">
        <v>10</v>
      </c>
      <c r="C36" s="33" t="n">
        <v>79.7672</v>
      </c>
      <c r="D36" s="16" t="n">
        <f aca="false">C36/B36</f>
        <v>7.97672</v>
      </c>
    </row>
    <row r="37" customFormat="false" ht="15" hidden="false" customHeight="false" outlineLevel="0" collapsed="false">
      <c r="A37" s="15" t="n">
        <v>46158</v>
      </c>
      <c r="B37" s="14" t="n">
        <v>10</v>
      </c>
      <c r="C37" s="33" t="n">
        <v>79.7552</v>
      </c>
      <c r="D37" s="16" t="n">
        <f aca="false">C37/B37</f>
        <v>7.97552</v>
      </c>
    </row>
    <row r="38" customFormat="false" ht="15" hidden="false" customHeight="false" outlineLevel="0" collapsed="false">
      <c r="A38" s="15" t="n">
        <v>46161</v>
      </c>
      <c r="B38" s="14" t="n">
        <v>10</v>
      </c>
      <c r="C38" s="33" t="n">
        <v>77.5735</v>
      </c>
      <c r="D38" s="16" t="n">
        <f aca="false">C38/B38</f>
        <v>7.75735</v>
      </c>
    </row>
    <row r="39" customFormat="false" ht="15" hidden="false" customHeight="false" outlineLevel="0" collapsed="false">
      <c r="A39" s="15" t="n">
        <v>46162</v>
      </c>
      <c r="B39" s="14" t="n">
        <v>10</v>
      </c>
      <c r="C39" s="33" t="n">
        <v>76.8869</v>
      </c>
      <c r="D39" s="16" t="n">
        <f aca="false">C39/B39</f>
        <v>7.68869</v>
      </c>
    </row>
    <row r="40" customFormat="false" ht="15" hidden="false" customHeight="false" outlineLevel="0" collapsed="false">
      <c r="A40" s="15" t="n">
        <v>46163</v>
      </c>
      <c r="B40" s="14" t="n">
        <v>10</v>
      </c>
      <c r="C40" s="33" t="n">
        <v>76.5969</v>
      </c>
      <c r="D40" s="16" t="n">
        <f aca="false">C40/B40</f>
        <v>7.65969</v>
      </c>
    </row>
    <row r="41" customFormat="false" ht="15" hidden="false" customHeight="false" outlineLevel="0" collapsed="false">
      <c r="A41" s="15" t="n">
        <v>46164</v>
      </c>
      <c r="B41" s="14" t="n">
        <v>10</v>
      </c>
      <c r="C41" s="33" t="n">
        <v>76.2883</v>
      </c>
      <c r="D41" s="16" t="n">
        <f aca="false">C41/B41</f>
        <v>7.62883</v>
      </c>
    </row>
    <row r="42" customFormat="false" ht="15" hidden="false" customHeight="false" outlineLevel="0" collapsed="false">
      <c r="A42" s="15" t="n">
        <v>46165</v>
      </c>
      <c r="B42" s="14" t="n">
        <v>10</v>
      </c>
      <c r="C42" s="33" t="n">
        <v>77.1378</v>
      </c>
      <c r="D42" s="16" t="n">
        <f aca="false">C42/B42</f>
        <v>7.71378</v>
      </c>
    </row>
    <row r="43" customFormat="false" ht="15" hidden="false" customHeight="false" outlineLevel="0" collapsed="false">
      <c r="A43" s="15" t="n">
        <v>46168</v>
      </c>
      <c r="B43" s="14" t="n">
        <v>10</v>
      </c>
      <c r="C43" s="33" t="n">
        <v>77.3169</v>
      </c>
      <c r="D43" s="16" t="n">
        <f aca="false">C43/B43</f>
        <v>7.73169</v>
      </c>
    </row>
    <row r="44" customFormat="false" ht="15" hidden="false" customHeight="false" outlineLevel="0" collapsed="false">
      <c r="A44" s="15" t="n">
        <v>46169</v>
      </c>
      <c r="B44" s="14" t="n">
        <v>10</v>
      </c>
      <c r="C44" s="33" t="n">
        <v>77.4488</v>
      </c>
      <c r="D44" s="16" t="n">
        <f aca="false">C44/B44</f>
        <v>7.74488</v>
      </c>
    </row>
    <row r="45" customFormat="false" ht="15" hidden="false" customHeight="false" outlineLevel="0" collapsed="false">
      <c r="A45" s="15" t="n">
        <v>46170</v>
      </c>
      <c r="B45" s="14" t="n">
        <v>10</v>
      </c>
      <c r="C45" s="33" t="n">
        <v>76.5746</v>
      </c>
      <c r="D45" s="16" t="n">
        <f aca="false">C45/B45</f>
        <v>7.65746</v>
      </c>
    </row>
    <row r="46" customFormat="false" ht="15" hidden="false" customHeight="false" outlineLevel="0" collapsed="false">
      <c r="A46" s="15" t="n">
        <v>46171</v>
      </c>
      <c r="B46" s="14" t="n">
        <v>10</v>
      </c>
      <c r="C46" s="33" t="n">
        <v>76.9239</v>
      </c>
      <c r="D46" s="16" t="n">
        <f aca="false">C46/B46</f>
        <v>7.69239</v>
      </c>
    </row>
    <row r="47" customFormat="false" ht="15" hidden="false" customHeight="false" outlineLevel="0" collapsed="false">
      <c r="A47" s="15" t="n">
        <v>46172</v>
      </c>
      <c r="B47" s="14" t="n">
        <v>10</v>
      </c>
      <c r="C47" s="33" t="n">
        <v>76.4372</v>
      </c>
      <c r="D47" s="16" t="n">
        <f aca="false">C47/B47</f>
        <v>7.64372</v>
      </c>
    </row>
    <row r="48" customFormat="false" ht="15" hidden="false" customHeight="false" outlineLevel="0" collapsed="false">
      <c r="A48" s="15" t="n">
        <v>46175</v>
      </c>
      <c r="B48" s="14" t="n">
        <v>10</v>
      </c>
      <c r="C48" s="33" t="n">
        <v>77.3347</v>
      </c>
      <c r="D48" s="16" t="n">
        <f aca="false">C48/B48</f>
        <v>7.73347</v>
      </c>
    </row>
    <row r="49" customFormat="false" ht="15" hidden="false" customHeight="false" outlineLevel="0" collapsed="false">
      <c r="A49" s="15" t="n">
        <v>46176</v>
      </c>
      <c r="B49" s="14" t="n">
        <v>10</v>
      </c>
      <c r="C49" s="33" t="n">
        <v>78.3269</v>
      </c>
      <c r="D49" s="16" t="n">
        <f aca="false">C49/B49</f>
        <v>7.83269</v>
      </c>
    </row>
    <row r="50" customFormat="false" ht="15" hidden="false" customHeight="false" outlineLevel="0" collapsed="false">
      <c r="A50" s="15" t="n">
        <v>46177</v>
      </c>
      <c r="B50" s="14" t="n">
        <v>10</v>
      </c>
      <c r="C50" s="33" t="n">
        <v>79.1091</v>
      </c>
      <c r="D50" s="16" t="n">
        <f aca="false">C50/B50</f>
        <v>7.91091</v>
      </c>
    </row>
    <row r="51" customFormat="false" ht="15" hidden="false" customHeight="false" outlineLevel="0" collapsed="false">
      <c r="A51" s="15" t="n">
        <v>46178</v>
      </c>
      <c r="B51" s="14" t="n">
        <v>10</v>
      </c>
      <c r="C51" s="33" t="n">
        <v>79.9436</v>
      </c>
      <c r="D51" s="16" t="n">
        <f aca="false">C51/B51</f>
        <v>7.99436</v>
      </c>
    </row>
    <row r="52" customFormat="false" ht="15" hidden="false" customHeight="false" outlineLevel="0" collapsed="false">
      <c r="A52" s="15" t="n">
        <v>46179</v>
      </c>
      <c r="B52" s="14" t="n">
        <v>10</v>
      </c>
      <c r="C52" s="33" t="n">
        <v>78.8581</v>
      </c>
      <c r="D52" s="16" t="n">
        <f aca="false">C52/B52</f>
        <v>7.88581</v>
      </c>
    </row>
    <row r="53" customFormat="false" ht="15" hidden="false" customHeight="false" outlineLevel="0" collapsed="false">
      <c r="A53" s="15" t="n">
        <v>46182</v>
      </c>
      <c r="B53" s="14" t="n">
        <v>10</v>
      </c>
      <c r="C53" s="33" t="n">
        <v>78.6386</v>
      </c>
      <c r="D53" s="16" t="n">
        <f aca="false">C53/B53</f>
        <v>7.86386</v>
      </c>
    </row>
    <row r="54" customFormat="false" ht="15" hidden="false" customHeight="false" outlineLevel="0" collapsed="false">
      <c r="A54" s="15" t="n">
        <v>46183</v>
      </c>
      <c r="B54" s="14" t="n">
        <v>10</v>
      </c>
      <c r="C54" s="33" t="n">
        <v>75.8288</v>
      </c>
      <c r="D54" s="16" t="n">
        <f aca="false">C54/B54</f>
        <v>7.58288</v>
      </c>
    </row>
    <row r="55" customFormat="false" ht="15" hidden="false" customHeight="false" outlineLevel="0" collapsed="false">
      <c r="A55" s="15" t="n">
        <v>46184</v>
      </c>
      <c r="B55" s="14" t="n">
        <v>10</v>
      </c>
      <c r="C55" s="33" t="n">
        <v>75.9811</v>
      </c>
      <c r="D55" s="16" t="n">
        <f aca="false">C55/B55</f>
        <v>7.59811</v>
      </c>
    </row>
    <row r="56" customFormat="false" ht="15" hidden="false" customHeight="false" outlineLevel="0" collapsed="false">
      <c r="A56" s="15" t="n">
        <v>46185</v>
      </c>
      <c r="B56" s="14" t="n">
        <v>10</v>
      </c>
      <c r="C56" s="33" t="n">
        <v>75.7617</v>
      </c>
      <c r="D56" s="16" t="n">
        <f aca="false">C56/B56</f>
        <v>7.57617</v>
      </c>
    </row>
    <row r="57" customFormat="false" ht="15" hidden="false" customHeight="false" outlineLevel="0" collapsed="false">
      <c r="A57" s="15" t="n">
        <v>46189</v>
      </c>
      <c r="B57" s="14" t="n">
        <v>10</v>
      </c>
      <c r="C57" s="33" t="n">
        <v>76.0093</v>
      </c>
      <c r="D57" s="16" t="n">
        <f aca="false">C57/B57</f>
        <v>7.60093</v>
      </c>
    </row>
    <row r="58" customFormat="false" ht="15" hidden="false" customHeight="false" outlineLevel="0" collapsed="false">
      <c r="A58" s="15" t="n">
        <v>46190</v>
      </c>
      <c r="B58" s="14" t="n">
        <v>10</v>
      </c>
      <c r="C58" s="33" t="n">
        <v>75.7371</v>
      </c>
      <c r="D58" s="16" t="n">
        <f aca="false">C58/B58</f>
        <v>7.57371</v>
      </c>
    </row>
    <row r="59" customFormat="false" ht="15" hidden="false" customHeight="false" outlineLevel="0" collapsed="false">
      <c r="A59" s="15" t="n">
        <v>46191</v>
      </c>
      <c r="B59" s="14" t="n">
        <v>10</v>
      </c>
      <c r="C59" s="33" t="n">
        <v>76.3533</v>
      </c>
      <c r="D59" s="16" t="n">
        <f aca="false">C59/B59</f>
        <v>7.63533</v>
      </c>
    </row>
    <row r="60" customFormat="false" ht="15" hidden="false" customHeight="false" outlineLevel="0" collapsed="false">
      <c r="A60" s="15" t="n">
        <v>46192</v>
      </c>
      <c r="B60" s="14" t="n">
        <v>10</v>
      </c>
      <c r="C60" s="33" t="n">
        <v>77.2445</v>
      </c>
      <c r="D60" s="16" t="n">
        <f aca="false">C60/B60</f>
        <v>7.72445</v>
      </c>
    </row>
    <row r="61" customFormat="false" ht="15" hidden="false" customHeight="false" outlineLevel="0" collapsed="false">
      <c r="A61" s="15" t="n">
        <v>46193</v>
      </c>
      <c r="B61" s="14" t="n">
        <v>10</v>
      </c>
      <c r="C61" s="33" t="n">
        <v>75.7931</v>
      </c>
      <c r="D61" s="16" t="n">
        <f aca="false">C61/B61</f>
        <v>7.57931</v>
      </c>
    </row>
    <row r="62" customFormat="false" ht="15" hidden="false" customHeight="false" outlineLevel="0" collapsed="false">
      <c r="A62" s="15" t="n">
        <v>46196</v>
      </c>
      <c r="B62" s="14" t="n">
        <v>10</v>
      </c>
      <c r="C62" s="33" t="n">
        <v>76.1728</v>
      </c>
      <c r="D62" s="16" t="n">
        <f aca="false">C62/B62</f>
        <v>7.61728</v>
      </c>
    </row>
    <row r="63" customFormat="false" ht="15" hidden="false" customHeight="false" outlineLevel="0" collapsed="false">
      <c r="A63" s="15" t="n">
        <v>46197</v>
      </c>
      <c r="B63" s="14" t="n">
        <v>10</v>
      </c>
      <c r="C63" s="33" t="n">
        <v>77.1936</v>
      </c>
      <c r="D63" s="16" t="n">
        <f aca="false">C63/B63</f>
        <v>7.71936</v>
      </c>
    </row>
    <row r="64" customFormat="false" ht="15" hidden="false" customHeight="false" outlineLevel="0" collapsed="false">
      <c r="A64" s="15" t="n">
        <v>46198</v>
      </c>
      <c r="B64" s="14" t="n">
        <v>10</v>
      </c>
      <c r="C64" s="33" t="n">
        <v>76.4449</v>
      </c>
      <c r="D64" s="16" t="n">
        <f aca="false">C64/B64</f>
        <v>7.64449</v>
      </c>
    </row>
    <row r="65" customFormat="false" ht="15" hidden="false" customHeight="false" outlineLevel="0" collapsed="false">
      <c r="A65" s="15" t="n">
        <v>46199</v>
      </c>
      <c r="B65" s="14" t="n">
        <v>10</v>
      </c>
      <c r="C65" s="33" t="n">
        <v>76.8755</v>
      </c>
      <c r="D65" s="16" t="n">
        <f aca="false">C65/B65</f>
        <v>7.68755</v>
      </c>
    </row>
    <row r="66" customFormat="false" ht="15" hidden="false" customHeight="false" outlineLevel="0" collapsed="false">
      <c r="A66" s="15" t="n">
        <v>46200</v>
      </c>
      <c r="B66" s="14" t="n">
        <v>10</v>
      </c>
      <c r="C66" s="33" t="n">
        <v>77.9166</v>
      </c>
      <c r="D66" s="16" t="n">
        <f aca="false">C66/B66</f>
        <v>7.79166</v>
      </c>
    </row>
    <row r="67" customFormat="false" ht="15" hidden="false" customHeight="false" outlineLevel="0" collapsed="false">
      <c r="A67" s="15" t="n">
        <v>46203</v>
      </c>
      <c r="B67" s="14" t="n">
        <v>10</v>
      </c>
      <c r="C67" s="33" t="n">
        <v>78.4244</v>
      </c>
      <c r="D67" s="16" t="n">
        <f aca="false">C67/B67</f>
        <v>7.84244</v>
      </c>
    </row>
    <row r="68" customFormat="false" ht="15" hidden="false" customHeight="false" outlineLevel="0" collapsed="false">
      <c r="A68" s="15" t="n">
        <v>46204</v>
      </c>
      <c r="B68" s="14" t="n">
        <v>10</v>
      </c>
      <c r="C68" s="33" t="n">
        <v>78.7983</v>
      </c>
      <c r="D68" s="16" t="n">
        <f aca="false">C68/B68</f>
        <v>7.87983</v>
      </c>
    </row>
    <row r="69" customFormat="false" ht="15" hidden="false" customHeight="false" outlineLevel="0" collapsed="false">
      <c r="A69" s="15" t="n">
        <v>46205</v>
      </c>
      <c r="B69" s="14" t="n">
        <v>10</v>
      </c>
      <c r="C69" s="33" t="n">
        <v>78.8431</v>
      </c>
      <c r="D69" s="16" t="n">
        <f aca="false">C69/B69</f>
        <v>7.88431</v>
      </c>
    </row>
    <row r="70" customFormat="false" ht="15" hidden="false" customHeight="false" outlineLevel="0" collapsed="false">
      <c r="A70" s="15" t="n">
        <v>46206</v>
      </c>
      <c r="B70" s="14" t="n">
        <v>10</v>
      </c>
      <c r="C70" s="33" t="n">
        <v>78.4147</v>
      </c>
      <c r="D70" s="16" t="n">
        <f aca="false">C70/B70</f>
        <v>7.84147</v>
      </c>
    </row>
    <row r="71" customFormat="false" ht="15" hidden="false" customHeight="false" outlineLevel="0" collapsed="false">
      <c r="A71" s="15" t="n">
        <v>46207</v>
      </c>
      <c r="B71" s="14" t="n">
        <v>10</v>
      </c>
      <c r="C71" s="33" t="n">
        <v>77.982</v>
      </c>
      <c r="D71" s="16" t="n">
        <f aca="false">C71/B71</f>
        <v>7.7982</v>
      </c>
    </row>
    <row r="72" customFormat="false" ht="15" hidden="false" customHeight="false" outlineLevel="0" collapsed="false">
      <c r="A72" s="15" t="n">
        <v>46210</v>
      </c>
      <c r="B72" s="14" t="n">
        <v>10</v>
      </c>
      <c r="C72" s="33" t="n">
        <v>79.2083</v>
      </c>
      <c r="D72" s="16" t="n">
        <f aca="false">C72/B72</f>
        <v>7.92083</v>
      </c>
    </row>
    <row r="73" customFormat="false" ht="15" hidden="false" customHeight="false" outlineLevel="0" collapsed="false">
      <c r="A73" s="15" t="n">
        <v>46211</v>
      </c>
      <c r="B73" s="14" t="n">
        <v>10</v>
      </c>
      <c r="C73" s="33" t="n">
        <v>77.3526</v>
      </c>
      <c r="D73" s="16" t="n">
        <f aca="false">C73/B73</f>
        <v>7.73526</v>
      </c>
    </row>
    <row r="74" customFormat="false" ht="15" hidden="false" customHeight="false" outlineLevel="0" collapsed="false">
      <c r="A74" s="15" t="n">
        <v>46212</v>
      </c>
      <c r="B74" s="14" t="n">
        <v>10</v>
      </c>
      <c r="C74" s="33" t="n">
        <v>77.8951</v>
      </c>
      <c r="D74" s="16" t="n">
        <f aca="false">C74/B74</f>
        <v>7.78951</v>
      </c>
    </row>
    <row r="75" customFormat="false" ht="15" hidden="false" customHeight="false" outlineLevel="0" collapsed="false">
      <c r="A75" s="15" t="n">
        <v>46213</v>
      </c>
      <c r="B75" s="14" t="n">
        <v>10</v>
      </c>
      <c r="C75" s="33" t="n">
        <v>77.7573</v>
      </c>
      <c r="D75" s="16" t="n">
        <f aca="false">C75/B75</f>
        <v>7.77573</v>
      </c>
    </row>
    <row r="76" customFormat="false" ht="15" hidden="false" customHeight="false" outlineLevel="0" collapsed="false">
      <c r="A76" s="15" t="n">
        <v>46214</v>
      </c>
      <c r="B76" s="14" t="n">
        <v>10</v>
      </c>
      <c r="C76" s="33" t="n">
        <v>78.7621</v>
      </c>
      <c r="D76" s="16" t="n">
        <f aca="false">C76/B76</f>
        <v>7.87621</v>
      </c>
    </row>
    <row r="77" customFormat="false" ht="15" hidden="false" customHeight="false" outlineLevel="0" collapsed="false">
      <c r="A77" s="15" t="n">
        <v>46217</v>
      </c>
      <c r="B77" s="14" t="n">
        <v>10</v>
      </c>
      <c r="C77" s="33" t="n">
        <v>78.5561</v>
      </c>
      <c r="D77" s="16" t="n">
        <f aca="false">C77/B77</f>
        <v>7.85561</v>
      </c>
    </row>
    <row r="78" customFormat="false" ht="15" hidden="false" customHeight="false" outlineLevel="0" collapsed="false">
      <c r="A78" s="15" t="n">
        <v>46218</v>
      </c>
      <c r="B78" s="14" t="n">
        <v>10</v>
      </c>
      <c r="C78" s="33" t="n">
        <v>79.3276</v>
      </c>
      <c r="D78" s="16" t="n">
        <f aca="false">C78/B78</f>
        <v>7.93276</v>
      </c>
    </row>
    <row r="79" customFormat="false" ht="15" hidden="false" customHeight="false" outlineLevel="0" collapsed="false">
      <c r="A79" s="15" t="n">
        <v>46219</v>
      </c>
      <c r="B79" s="14" t="n">
        <v>10</v>
      </c>
      <c r="C79" s="33" t="n">
        <v>80.2652</v>
      </c>
      <c r="D79" s="16" t="n">
        <f aca="false">C79/B79</f>
        <v>8.02652</v>
      </c>
    </row>
    <row r="80" customFormat="false" ht="15" hidden="false" customHeight="false" outlineLevel="0" collapsed="false">
      <c r="A80" s="15" t="n">
        <v>46220</v>
      </c>
      <c r="B80" s="14" t="n">
        <v>10</v>
      </c>
      <c r="C80" s="33" t="n">
        <v>80.5063</v>
      </c>
      <c r="D80" s="16" t="n">
        <f aca="false">C80/B80</f>
        <v>8.05063</v>
      </c>
    </row>
    <row r="81" customFormat="false" ht="15" hidden="false" customHeight="false" outlineLevel="0" collapsed="false">
      <c r="A81" s="15" t="n">
        <v>46221</v>
      </c>
      <c r="B81" s="14" t="n">
        <v>10</v>
      </c>
      <c r="C81" s="33" t="n">
        <v>81.254</v>
      </c>
      <c r="D81" s="16" t="n">
        <f aca="false">C81/B81</f>
        <v>8.1254</v>
      </c>
    </row>
    <row r="82" customFormat="false" ht="15" hidden="false" customHeight="false" outlineLevel="0" collapsed="false">
      <c r="A82" s="15" t="n">
        <v>46224</v>
      </c>
      <c r="B82" s="14" t="n">
        <v>10</v>
      </c>
      <c r="C82" s="33" t="n">
        <v>81.1253</v>
      </c>
      <c r="D82" s="16" t="n">
        <f aca="false">C82/B82</f>
        <v>8.11253</v>
      </c>
    </row>
    <row r="83" customFormat="false" ht="15" hidden="false" customHeight="false" outlineLevel="0" collapsed="false">
      <c r="A83" s="15" t="n">
        <v>46225</v>
      </c>
      <c r="B83" s="14" t="n">
        <v>10</v>
      </c>
      <c r="C83" s="33" t="n">
        <v>81.286</v>
      </c>
      <c r="D83" s="16" t="n">
        <f aca="false">C83/B83</f>
        <v>8.1286</v>
      </c>
    </row>
    <row r="84" customFormat="false" ht="15" hidden="false" customHeight="false" outlineLevel="0" collapsed="false">
      <c r="A84" s="15" t="n">
        <v>46226</v>
      </c>
      <c r="B84" s="14" t="n">
        <v>10</v>
      </c>
      <c r="C84" s="33" t="n">
        <v>81.5543</v>
      </c>
      <c r="D84" s="16" t="n">
        <f aca="false">C84/B84</f>
        <v>8.15543</v>
      </c>
    </row>
    <row r="85" customFormat="false" ht="15" hidden="false" customHeight="false" outlineLevel="0" collapsed="false">
      <c r="A85" s="15" t="n">
        <v>46227</v>
      </c>
      <c r="B85" s="14" t="n">
        <v>10</v>
      </c>
      <c r="C85" s="33" t="n">
        <v>81.7067</v>
      </c>
      <c r="D85" s="16" t="n">
        <f aca="false">C85/B85</f>
        <v>8.17067</v>
      </c>
    </row>
    <row r="86" customFormat="false" ht="15" hidden="false" customHeight="false" outlineLevel="0" collapsed="false">
      <c r="A86" s="15" t="n">
        <v>46228</v>
      </c>
      <c r="B86" s="14" t="n">
        <v>10</v>
      </c>
      <c r="C86" s="33" t="n">
        <v>81.162</v>
      </c>
      <c r="D86" s="16" t="n">
        <f aca="false">C86/B86</f>
        <v>8.1162</v>
      </c>
    </row>
    <row r="87" customFormat="false" ht="15" hidden="false" customHeight="false" outlineLevel="0" collapsed="false">
      <c r="A87" s="15" t="n">
        <v>46231</v>
      </c>
      <c r="B87" s="14" t="n">
        <v>10</v>
      </c>
      <c r="C87" s="33" t="n">
        <v>81.521</v>
      </c>
      <c r="D87" s="16" t="n">
        <f aca="false">C87/B87</f>
        <v>8.1521</v>
      </c>
    </row>
    <row r="88" customFormat="false" ht="15" hidden="false" customHeight="false" outlineLevel="0" collapsed="false">
      <c r="A88" s="15" t="n">
        <v>46232</v>
      </c>
      <c r="B88" s="14" t="n">
        <v>10</v>
      </c>
      <c r="C88" s="33" t="n">
        <v>81.5963</v>
      </c>
      <c r="D88" s="16" t="n">
        <f aca="false">C88/B88</f>
        <v>8.15963</v>
      </c>
    </row>
    <row r="89" customFormat="false" ht="15" hidden="false" customHeight="false" outlineLevel="0" collapsed="false">
      <c r="A89" s="15" t="n">
        <v>46233</v>
      </c>
      <c r="B89" s="14" t="n">
        <v>10</v>
      </c>
      <c r="C89" s="33" t="n">
        <v>81.9634</v>
      </c>
      <c r="D89" s="16" t="n">
        <f aca="false">C89/B89</f>
        <v>8.19634</v>
      </c>
    </row>
    <row r="90" customFormat="false" ht="15" hidden="false" customHeight="false" outlineLevel="0" collapsed="false">
      <c r="A90" s="15" t="n">
        <v>46234</v>
      </c>
      <c r="B90" s="14" t="n">
        <v>10</v>
      </c>
      <c r="C90" s="33" t="n">
        <v>82.6312</v>
      </c>
      <c r="D90" s="16" t="n">
        <f aca="false">C90/B90</f>
        <v>8.26312</v>
      </c>
    </row>
    <row r="91" customFormat="false" ht="15" hidden="false" customHeight="false" outlineLevel="0" collapsed="false">
      <c r="A91" s="15" t="n">
        <v>46235</v>
      </c>
      <c r="B91" s="14" t="n">
        <v>10</v>
      </c>
      <c r="C91" s="33" t="n">
        <v>83.0854</v>
      </c>
      <c r="D91" s="16" t="n">
        <f aca="false">C91/B91</f>
        <v>8.30854</v>
      </c>
    </row>
    <row r="92" customFormat="false" ht="15" hidden="false" customHeight="false" outlineLevel="0" collapsed="false">
      <c r="A92" s="15" t="n">
        <v>46238</v>
      </c>
      <c r="B92" s="14" t="n">
        <v>10</v>
      </c>
      <c r="C92" s="33" t="n">
        <v>84.0422</v>
      </c>
      <c r="D92" s="16" t="n">
        <f aca="false">C92/B92</f>
        <v>8.40422</v>
      </c>
    </row>
    <row r="93" customFormat="false" ht="15" hidden="false" customHeight="false" outlineLevel="0" collapsed="false">
      <c r="A93" s="15" t="n">
        <v>46239</v>
      </c>
      <c r="B93" s="14" t="n">
        <v>10</v>
      </c>
      <c r="C93" s="33" t="n">
        <v>85.1016</v>
      </c>
      <c r="D93" s="16" t="n">
        <f aca="false">C93/B93</f>
        <v>8.51016</v>
      </c>
    </row>
    <row r="94" customFormat="false" ht="15" hidden="false" customHeight="false" outlineLevel="0" collapsed="false">
      <c r="A94" s="15" t="n">
        <v>46240</v>
      </c>
      <c r="B94" s="14" t="n">
        <v>10</v>
      </c>
      <c r="C94" s="33" t="n">
        <v>84.7765</v>
      </c>
      <c r="D94" s="16" t="n">
        <f aca="false">C94/B94</f>
        <v>8.47765</v>
      </c>
    </row>
    <row r="95" customFormat="false" ht="15" hidden="false" customHeight="false" outlineLevel="0" collapsed="false">
      <c r="A95" s="15" t="n">
        <v>46241</v>
      </c>
      <c r="B95" s="14" t="n">
        <v>10</v>
      </c>
      <c r="C95" s="33" t="n">
        <v>85.6364</v>
      </c>
      <c r="D95" s="16" t="n">
        <f aca="false">C95/B95</f>
        <v>8.56364</v>
      </c>
    </row>
    <row r="96" customFormat="false" ht="15" hidden="false" customHeight="false" outlineLevel="0" collapsed="false">
      <c r="A96" s="15" t="n">
        <v>46242</v>
      </c>
      <c r="B96" s="14" t="n">
        <v>10</v>
      </c>
      <c r="C96" s="33" t="n">
        <v>86.2125</v>
      </c>
      <c r="D96" s="16" t="n">
        <f aca="false">C96/B96</f>
        <v>8.62125</v>
      </c>
    </row>
    <row r="97" customFormat="false" ht="15" hidden="false" customHeight="false" outlineLevel="0" collapsed="false">
      <c r="A97" s="15" t="n">
        <v>46245</v>
      </c>
      <c r="B97" s="14" t="n">
        <v>10</v>
      </c>
      <c r="C97" s="33" t="n">
        <v>86.8212</v>
      </c>
      <c r="D97" s="16" t="n">
        <f aca="false">C97/B97</f>
        <v>8.68212</v>
      </c>
    </row>
    <row r="98" customFormat="false" ht="15" hidden="false" customHeight="false" outlineLevel="0" collapsed="false">
      <c r="A98" s="15" t="n">
        <v>46246</v>
      </c>
      <c r="B98" s="14" t="n">
        <v>10</v>
      </c>
      <c r="C98" s="33" t="n">
        <v>86.6404</v>
      </c>
      <c r="D98" s="16" t="n">
        <f aca="false">C98/B98</f>
        <v>8.66404</v>
      </c>
    </row>
    <row r="99" customFormat="false" ht="15" hidden="false" customHeight="false" outlineLevel="0" collapsed="false">
      <c r="A99" s="15" t="n">
        <v>46247</v>
      </c>
      <c r="B99" s="14" t="n">
        <v>10</v>
      </c>
      <c r="C99" s="33" t="n">
        <v>87.3063</v>
      </c>
      <c r="D99" s="16" t="n">
        <f aca="false">C99/B99</f>
        <v>8.73063</v>
      </c>
    </row>
    <row r="100" customFormat="false" ht="15" hidden="false" customHeight="false" outlineLevel="0" collapsed="false">
      <c r="A100" s="15" t="n">
        <v>46248</v>
      </c>
      <c r="B100" s="14" t="n">
        <v>10</v>
      </c>
      <c r="C100" s="33" t="n">
        <v>88.4727</v>
      </c>
      <c r="D100" s="16" t="n">
        <f aca="false">C100/B100</f>
        <v>8.84727</v>
      </c>
    </row>
    <row r="101" customFormat="false" ht="15" hidden="false" customHeight="false" outlineLevel="0" collapsed="false">
      <c r="A101" s="15" t="n">
        <v>46249</v>
      </c>
      <c r="B101" s="14" t="n">
        <v>10</v>
      </c>
      <c r="C101" s="33" t="n">
        <v>88.762</v>
      </c>
      <c r="D101" s="16" t="n">
        <f aca="false">C101/B101</f>
        <v>8.8762</v>
      </c>
    </row>
    <row r="102" customFormat="false" ht="15" hidden="false" customHeight="false" outlineLevel="0" collapsed="false">
      <c r="A102" s="15" t="n">
        <v>46252</v>
      </c>
      <c r="B102" s="14" t="n">
        <v>10</v>
      </c>
      <c r="C102" s="33" t="n">
        <v>89.9472</v>
      </c>
      <c r="D102" s="16" t="n">
        <f aca="false">C102/B102</f>
        <v>8.99472</v>
      </c>
    </row>
    <row r="103" customFormat="false" ht="15" hidden="false" customHeight="false" outlineLevel="0" collapsed="false">
      <c r="A103" s="15" t="n">
        <v>46253</v>
      </c>
      <c r="B103" s="14" t="n">
        <v>10</v>
      </c>
      <c r="C103" s="33" t="n">
        <v>90.3842</v>
      </c>
      <c r="D103" s="16" t="n">
        <f aca="false">C103/B103</f>
        <v>9.03842</v>
      </c>
    </row>
    <row r="104" customFormat="false" ht="15" hidden="false" customHeight="false" outlineLevel="0" collapsed="false">
      <c r="A104" s="15" t="n">
        <v>46254</v>
      </c>
      <c r="B104" s="14" t="n">
        <v>10</v>
      </c>
      <c r="C104" s="33" t="n">
        <v>90.3881</v>
      </c>
      <c r="D104" s="16" t="n">
        <f aca="false">C104/B104</f>
        <v>9.03881</v>
      </c>
    </row>
    <row r="105" customFormat="false" ht="15" hidden="false" customHeight="false" outlineLevel="0" collapsed="false">
      <c r="A105" s="15" t="n">
        <v>46255</v>
      </c>
      <c r="B105" s="14" t="n">
        <v>10</v>
      </c>
      <c r="C105" s="33" t="n">
        <v>88.6604</v>
      </c>
      <c r="D105" s="16" t="n">
        <f aca="false">C105/B105</f>
        <v>8.86604</v>
      </c>
    </row>
    <row r="106" customFormat="false" ht="15" hidden="false" customHeight="false" outlineLevel="0" collapsed="false">
      <c r="A106" s="15" t="n">
        <v>46256</v>
      </c>
      <c r="B106" s="14" t="n">
        <v>10</v>
      </c>
      <c r="C106" s="33" t="n">
        <v>88.8424</v>
      </c>
      <c r="D106" s="16" t="n">
        <f aca="false">C106/B106</f>
        <v>8.88424</v>
      </c>
    </row>
    <row r="107" customFormat="false" ht="15" hidden="false" customHeight="false" outlineLevel="0" collapsed="false">
      <c r="A107" s="15" t="n">
        <v>46259</v>
      </c>
      <c r="B107" s="14" t="n">
        <v>10</v>
      </c>
      <c r="C107" s="33" t="n">
        <v>89.6599</v>
      </c>
      <c r="D107" s="16" t="n">
        <f aca="false">C107/B107</f>
        <v>8.96599</v>
      </c>
    </row>
    <row r="108" customFormat="false" ht="15" hidden="false" customHeight="false" outlineLevel="0" collapsed="false">
      <c r="A108" s="15" t="n">
        <v>46260</v>
      </c>
      <c r="B108" s="14" t="n">
        <v>10</v>
      </c>
      <c r="C108" s="33" t="n">
        <v>90.6786</v>
      </c>
      <c r="D108" s="16" t="n">
        <f aca="false">C108/B108</f>
        <v>9.06786</v>
      </c>
    </row>
    <row r="109" customFormat="false" ht="15" hidden="false" customHeight="false" outlineLevel="0" collapsed="false">
      <c r="A109" s="15" t="n">
        <v>46261</v>
      </c>
      <c r="B109" s="14" t="n">
        <v>10</v>
      </c>
      <c r="C109" s="33" t="n">
        <v>90.2406</v>
      </c>
      <c r="D109" s="16" t="n">
        <f aca="false">C109/B109</f>
        <v>9.02406</v>
      </c>
    </row>
    <row r="110" customFormat="false" ht="15" hidden="false" customHeight="false" outlineLevel="0" collapsed="false">
      <c r="A110" s="15" t="n">
        <v>46262</v>
      </c>
      <c r="B110" s="14" t="n">
        <v>10</v>
      </c>
      <c r="C110" s="33" t="n">
        <v>92.1493</v>
      </c>
      <c r="D110" s="16" t="n">
        <f aca="false">C110/B110</f>
        <v>9.21493</v>
      </c>
    </row>
    <row r="111" customFormat="false" ht="15" hidden="false" customHeight="false" outlineLevel="0" collapsed="false">
      <c r="A111" s="15" t="n">
        <v>46263</v>
      </c>
      <c r="B111" s="14" t="n">
        <v>10</v>
      </c>
      <c r="C111" s="33" t="n">
        <v>91.6447</v>
      </c>
      <c r="D111" s="16" t="n">
        <f aca="false">C111/B111</f>
        <v>9.16447</v>
      </c>
    </row>
    <row r="112" customFormat="false" ht="15" hidden="false" customHeight="false" outlineLevel="0" collapsed="false">
      <c r="A112" s="15" t="n">
        <v>46266</v>
      </c>
      <c r="B112" s="14" t="n">
        <v>10</v>
      </c>
      <c r="C112" s="33" t="n">
        <v>92.6111</v>
      </c>
      <c r="D112" s="16" t="n">
        <f aca="false">C112/B112</f>
        <v>9.26111</v>
      </c>
    </row>
    <row r="113" customFormat="false" ht="15" hidden="false" customHeight="false" outlineLevel="0" collapsed="false">
      <c r="A113" s="15" t="n">
        <v>46267</v>
      </c>
      <c r="B113" s="14" t="n">
        <v>10</v>
      </c>
      <c r="C113" s="33" t="n">
        <v>92.8714</v>
      </c>
      <c r="D113" s="16" t="n">
        <f aca="false">C113/B113</f>
        <v>9.28714</v>
      </c>
    </row>
    <row r="114" customFormat="false" ht="15" hidden="false" customHeight="false" outlineLevel="0" collapsed="false">
      <c r="A114" s="15" t="n">
        <v>46268</v>
      </c>
      <c r="B114" s="14" t="n">
        <v>10</v>
      </c>
      <c r="C114" s="33" t="n">
        <v>93.2007</v>
      </c>
      <c r="D114" s="16" t="n">
        <f aca="false">C114/B114</f>
        <v>9.32007</v>
      </c>
    </row>
    <row r="115" customFormat="false" ht="15" hidden="false" customHeight="false" outlineLevel="0" collapsed="false">
      <c r="A115" s="15" t="n">
        <v>46269</v>
      </c>
      <c r="B115" s="14" t="n">
        <v>10</v>
      </c>
      <c r="C115" s="33" t="n">
        <v>93.0688</v>
      </c>
      <c r="D115" s="16" t="n">
        <f aca="false">C115/B115</f>
        <v>9.30688</v>
      </c>
    </row>
    <row r="116" customFormat="false" ht="15" hidden="false" customHeight="false" outlineLevel="0" collapsed="false">
      <c r="A116" s="15" t="n">
        <v>46270</v>
      </c>
      <c r="B116" s="14" t="n">
        <v>10</v>
      </c>
      <c r="C116" s="33" t="n">
        <v>93.0659</v>
      </c>
      <c r="D116" s="16" t="n">
        <f aca="false">C116/B116</f>
        <v>9.30659</v>
      </c>
    </row>
    <row r="117" customFormat="false" ht="15" hidden="false" customHeight="false" outlineLevel="0" collapsed="false">
      <c r="A117" s="15" t="n">
        <v>46273</v>
      </c>
      <c r="B117" s="14" t="n">
        <v>10</v>
      </c>
      <c r="C117" s="33" t="n">
        <v>92.7213</v>
      </c>
      <c r="D117" s="16" t="n">
        <f aca="false">C117/B117</f>
        <v>9.27213</v>
      </c>
    </row>
    <row r="118" customFormat="false" ht="15" hidden="false" customHeight="false" outlineLevel="0" collapsed="false">
      <c r="A118" s="15" t="n">
        <v>46274</v>
      </c>
      <c r="B118" s="14" t="n">
        <v>10</v>
      </c>
      <c r="C118" s="33" t="n">
        <v>93.2796</v>
      </c>
      <c r="D118" s="16" t="n">
        <f aca="false">C118/B118</f>
        <v>9.32796</v>
      </c>
    </row>
    <row r="119" customFormat="false" ht="15" hidden="false" customHeight="false" outlineLevel="0" collapsed="false">
      <c r="A119" s="15" t="n">
        <v>46275</v>
      </c>
      <c r="B119" s="14" t="n">
        <v>10</v>
      </c>
      <c r="C119" s="33" t="n">
        <v>92.3706</v>
      </c>
      <c r="D119" s="16" t="n">
        <f aca="false">C119/B119</f>
        <v>9.23706</v>
      </c>
    </row>
    <row r="120" customFormat="false" ht="15" hidden="false" customHeight="false" outlineLevel="0" collapsed="false">
      <c r="A120" s="15" t="n">
        <v>46276</v>
      </c>
      <c r="B120" s="14" t="n">
        <v>10</v>
      </c>
      <c r="C120" s="33" t="n">
        <v>91.8774</v>
      </c>
      <c r="D120" s="16" t="n">
        <f aca="false">C120/B120</f>
        <v>9.18774</v>
      </c>
    </row>
    <row r="121" customFormat="false" ht="15" hidden="false" customHeight="false" outlineLevel="0" collapsed="false">
      <c r="A121" s="15" t="n">
        <v>46277</v>
      </c>
      <c r="B121" s="14" t="n">
        <v>10</v>
      </c>
      <c r="C121" s="33" t="n">
        <v>90.9303</v>
      </c>
      <c r="D121" s="16" t="n">
        <f aca="false">C121/B121</f>
        <v>9.09303</v>
      </c>
    </row>
    <row r="122" customFormat="false" ht="15" hidden="false" customHeight="false" outlineLevel="0" collapsed="false">
      <c r="A122" s="15" t="n">
        <v>46280</v>
      </c>
      <c r="B122" s="14" t="n">
        <v>10</v>
      </c>
      <c r="C122" s="33" t="n">
        <v>90.6852</v>
      </c>
      <c r="D122" s="16" t="n">
        <f aca="false">C122/B122</f>
        <v>9.06852</v>
      </c>
    </row>
    <row r="123" customFormat="false" ht="15" hidden="false" customHeight="false" outlineLevel="0" collapsed="false">
      <c r="A123" s="15" t="n">
        <v>46281</v>
      </c>
      <c r="B123" s="14" t="n">
        <v>10</v>
      </c>
      <c r="C123" s="33" t="n">
        <v>90.3696</v>
      </c>
      <c r="D123" s="16" t="n">
        <f aca="false">C123/B123</f>
        <v>9.03696</v>
      </c>
    </row>
    <row r="124" customFormat="false" ht="15" hidden="false" customHeight="false" outlineLevel="0" collapsed="false">
      <c r="A124" s="15" t="n">
        <v>46282</v>
      </c>
      <c r="B124" s="14" t="n">
        <v>10</v>
      </c>
      <c r="C124" s="33" t="n">
        <v>90.0576</v>
      </c>
      <c r="D124" s="16" t="n">
        <f aca="false">C124/B124</f>
        <v>9.00576</v>
      </c>
    </row>
    <row r="125" customFormat="false" ht="15" hidden="false" customHeight="false" outlineLevel="0" collapsed="false">
      <c r="A125" s="15" t="n">
        <v>46283</v>
      </c>
      <c r="B125" s="14" t="n">
        <v>10</v>
      </c>
      <c r="C125" s="33" t="n">
        <v>90.3727</v>
      </c>
      <c r="D125" s="16" t="n">
        <f aca="false">C125/B125</f>
        <v>9.03727</v>
      </c>
    </row>
    <row r="126" customFormat="false" ht="15" hidden="false" customHeight="false" outlineLevel="0" collapsed="false">
      <c r="A126" s="15" t="n">
        <v>46284</v>
      </c>
      <c r="B126" s="14" t="n">
        <v>10</v>
      </c>
      <c r="C126" s="33" t="n">
        <v>89.3001</v>
      </c>
      <c r="D126" s="16" t="n">
        <f aca="false">C126/B126</f>
        <v>8.93001</v>
      </c>
    </row>
    <row r="127" customFormat="false" ht="15" hidden="false" customHeight="false" outlineLevel="0" collapsed="false">
      <c r="A127" s="15" t="n">
        <v>46287</v>
      </c>
      <c r="B127" s="14" t="n">
        <v>10</v>
      </c>
      <c r="C127" s="33" t="n">
        <v>89.1559</v>
      </c>
      <c r="D127" s="16" t="n">
        <f aca="false">C127/B127</f>
        <v>8.91559</v>
      </c>
    </row>
    <row r="128" customFormat="false" ht="15" hidden="false" customHeight="false" outlineLevel="0" collapsed="false">
      <c r="A128" s="15" t="n">
        <v>46288</v>
      </c>
      <c r="B128" s="14" t="n">
        <v>10</v>
      </c>
      <c r="C128" s="33" t="n">
        <v>89.329</v>
      </c>
      <c r="D128" s="16" t="n">
        <f aca="false">C128/B128</f>
        <v>8.9329</v>
      </c>
    </row>
    <row r="129" customFormat="false" ht="15" hidden="false" customHeight="false" outlineLevel="0" collapsed="false">
      <c r="A129" s="15" t="n">
        <v>46289</v>
      </c>
      <c r="B129" s="14" t="n">
        <v>10</v>
      </c>
      <c r="C129" s="33" t="n">
        <v>89.5695</v>
      </c>
      <c r="D129" s="16" t="n">
        <f aca="false">C129/B129</f>
        <v>8.95695</v>
      </c>
    </row>
    <row r="130" customFormat="false" ht="15" hidden="false" customHeight="false" outlineLevel="0" collapsed="false">
      <c r="A130" s="15" t="n">
        <v>46290</v>
      </c>
      <c r="B130" s="14" t="n">
        <v>10</v>
      </c>
      <c r="C130" s="33" t="n">
        <v>89.7172</v>
      </c>
      <c r="D130" s="16" t="n">
        <f aca="false">C130/B130</f>
        <v>8.97172</v>
      </c>
    </row>
    <row r="131" customFormat="false" ht="15" hidden="false" customHeight="false" outlineLevel="0" collapsed="false">
      <c r="A131" s="15" t="n">
        <v>46291</v>
      </c>
      <c r="B131" s="14" t="n">
        <v>10</v>
      </c>
      <c r="C131" s="33" t="n">
        <v>88.8552</v>
      </c>
      <c r="D131" s="16" t="n">
        <f aca="false">C131/B131</f>
        <v>8.88552</v>
      </c>
    </row>
    <row r="132" customFormat="false" ht="15" hidden="false" customHeight="false" outlineLevel="0" collapsed="false">
      <c r="A132" s="15" t="n">
        <v>46294</v>
      </c>
      <c r="B132" s="14" t="n">
        <v>10</v>
      </c>
      <c r="C132" s="33" t="n">
        <v>88.7911</v>
      </c>
      <c r="D132" s="16" t="n">
        <f aca="false">C132/B132</f>
        <v>8.87911</v>
      </c>
    </row>
    <row r="133" customFormat="false" ht="15" hidden="false" customHeight="false" outlineLevel="0" collapsed="false">
      <c r="A133" s="15" t="n">
        <v>46295</v>
      </c>
      <c r="B133" s="14" t="n">
        <v>10</v>
      </c>
      <c r="C133" s="33" t="n">
        <v>88.8074</v>
      </c>
      <c r="D133" s="16" t="n">
        <f aca="false">C133/B133</f>
        <v>8.88074</v>
      </c>
    </row>
    <row r="134" customFormat="false" ht="15" hidden="false" customHeight="false" outlineLevel="0" collapsed="false">
      <c r="A134" s="15" t="n">
        <v>46296</v>
      </c>
      <c r="B134" s="14" t="n">
        <v>10</v>
      </c>
      <c r="C134" s="33" t="n">
        <v>87.2586</v>
      </c>
      <c r="D134" s="16" t="n">
        <f aca="false">C134/B134</f>
        <v>8.72586</v>
      </c>
    </row>
    <row r="135" customFormat="false" ht="15" hidden="false" customHeight="false" outlineLevel="0" collapsed="false">
      <c r="A135" s="15" t="n">
        <v>46297</v>
      </c>
      <c r="B135" s="14" t="n">
        <v>10</v>
      </c>
      <c r="C135" s="33" t="n">
        <v>86.7085</v>
      </c>
      <c r="D135" s="16" t="n">
        <f aca="false">C135/B135</f>
        <v>8.67085</v>
      </c>
    </row>
    <row r="136" customFormat="false" ht="15" hidden="false" customHeight="false" outlineLevel="0" collapsed="false">
      <c r="A136" s="15" t="n">
        <v>46298</v>
      </c>
      <c r="B136" s="14" t="n">
        <v>10</v>
      </c>
      <c r="C136" s="33" t="n">
        <v>86.7311</v>
      </c>
      <c r="D136" s="16" t="n">
        <f aca="false">C136/B136</f>
        <v>8.67311</v>
      </c>
    </row>
    <row r="137" customFormat="false" ht="15" hidden="false" customHeight="false" outlineLevel="0" collapsed="false">
      <c r="A137" s="15" t="n">
        <v>46301</v>
      </c>
      <c r="B137" s="14" t="n">
        <v>10</v>
      </c>
      <c r="C137" s="33" t="n">
        <v>88.0168</v>
      </c>
      <c r="D137" s="16" t="n">
        <f aca="false">C137/B137</f>
        <v>8.80168</v>
      </c>
    </row>
    <row r="138" customFormat="false" ht="15" hidden="false" customHeight="false" outlineLevel="0" collapsed="false">
      <c r="A138" s="15" t="n">
        <v>46302</v>
      </c>
      <c r="B138" s="14" t="n">
        <v>10</v>
      </c>
      <c r="C138" s="33" t="n">
        <v>89.269</v>
      </c>
      <c r="D138" s="16" t="n">
        <f aca="false">C138/B138</f>
        <v>8.9269</v>
      </c>
    </row>
    <row r="139" customFormat="false" ht="15" hidden="false" customHeight="false" outlineLevel="0" collapsed="false">
      <c r="A139" s="15" t="n">
        <v>46303</v>
      </c>
      <c r="B139" s="14" t="n">
        <v>10</v>
      </c>
      <c r="C139" s="33" t="n">
        <v>89.3752</v>
      </c>
      <c r="D139" s="16" t="n">
        <f aca="false">C139/B139</f>
        <v>8.93752</v>
      </c>
    </row>
    <row r="140" customFormat="false" ht="15" hidden="false" customHeight="false" outlineLevel="0" collapsed="false">
      <c r="A140" s="15" t="n">
        <v>46304</v>
      </c>
      <c r="B140" s="14" t="n">
        <v>10</v>
      </c>
      <c r="C140" s="33" t="n">
        <v>89.1249</v>
      </c>
      <c r="D140" s="16" t="n">
        <f aca="false">C140/B140</f>
        <v>8.91249</v>
      </c>
    </row>
    <row r="141" customFormat="false" ht="15" hidden="false" customHeight="false" outlineLevel="0" collapsed="false">
      <c r="A141" s="15" t="n">
        <v>46305</v>
      </c>
      <c r="B141" s="14" t="n">
        <v>10</v>
      </c>
      <c r="C141" s="33" t="n">
        <v>88.6207</v>
      </c>
      <c r="D141" s="16" t="n">
        <f aca="false">C141/B141</f>
        <v>8.86207</v>
      </c>
    </row>
    <row r="142" customFormat="false" ht="15" hidden="false" customHeight="false" outlineLevel="0" collapsed="false">
      <c r="A142" s="15" t="n">
        <v>46308</v>
      </c>
      <c r="B142" s="14" t="n">
        <v>10</v>
      </c>
      <c r="C142" s="33" t="n">
        <v>87.7564</v>
      </c>
      <c r="D142" s="16" t="n">
        <f aca="false">C142/B142</f>
        <v>8.77564</v>
      </c>
    </row>
    <row r="143" customFormat="false" ht="15" hidden="false" customHeight="false" outlineLevel="0" collapsed="false">
      <c r="A143" s="15" t="n">
        <v>46309</v>
      </c>
      <c r="B143" s="14" t="n">
        <v>10</v>
      </c>
      <c r="C143" s="33" t="n">
        <v>87.6743</v>
      </c>
      <c r="D143" s="16" t="n">
        <f aca="false">C143/B143</f>
        <v>8.76743</v>
      </c>
    </row>
    <row r="144" customFormat="false" ht="15" hidden="false" customHeight="false" outlineLevel="0" collapsed="false">
      <c r="A144" s="15" t="n">
        <v>46310</v>
      </c>
      <c r="B144" s="14" t="n">
        <v>10</v>
      </c>
      <c r="C144" s="33" t="n">
        <v>88.0373</v>
      </c>
      <c r="D144" s="16" t="n">
        <f aca="false">C144/B144</f>
        <v>8.80373</v>
      </c>
    </row>
    <row r="145" customFormat="false" ht="15" hidden="false" customHeight="false" outlineLevel="0" collapsed="false">
      <c r="A145" s="15" t="n">
        <v>46311</v>
      </c>
      <c r="B145" s="14" t="n">
        <v>10</v>
      </c>
      <c r="C145" s="33" t="n">
        <v>88.4328</v>
      </c>
      <c r="D145" s="16" t="n">
        <f aca="false">C145/B145</f>
        <v>8.84328</v>
      </c>
    </row>
    <row r="146" customFormat="false" ht="15" hidden="false" customHeight="false" outlineLevel="0" collapsed="false">
      <c r="A146" s="15" t="n">
        <v>46312</v>
      </c>
      <c r="B146" s="14" t="n">
        <v>10</v>
      </c>
      <c r="C146" s="33" t="n">
        <v>87.9825</v>
      </c>
      <c r="D146" s="16" t="n">
        <f aca="false">C146/B146</f>
        <v>8.79825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2026-10-19T11:06:01Z</dcterms:created>
  <dc:creator>openpyxl</dc:creator>
  <dc:description/>
  <dc:language>en-US</dc:language>
  <cp:lastModifiedBy/>
  <dcterms:modified xsi:type="dcterms:W3CDTF">2026-10-19T11:06:01Z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